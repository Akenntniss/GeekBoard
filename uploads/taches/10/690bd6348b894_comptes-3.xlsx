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405" windowWidth="22050" windowHeight="9420"/>
  </bookViews>
  <sheets>
    <sheet name="Vos comptes" sheetId="16" r:id="Ref1087e74c6a426b"/>
    <sheet name="Cpt 18404 00036528501" sheetId="17" r:id="R8e9b05195a8446cb"/>
    <sheet name="hidden_data" sheetId="11" r:id="rId1" state="veryHidden"/>
    <sheet name="hidden" sheetId="1" state="veryHidden" r:id="rId6"/>
  </sheets>
  <definedNames>
    <definedName name="_xlnm.Print_Area" localSheetId="0">'Vos comptes'!$A$1:$D$4</definedName>
    <definedName name="_xlnm._FilterDatabase" localSheetId="1" hidden="1">'Cpt 18404 00036528501'!$A$5:$E$5</definedName>
    <definedName name="_xlnm.Print_Area" localSheetId="1">'Cpt 18404 00036528501'!$A$1:$F$539</definedName>
  </definedNames>
  <calcPr calcId="162913"/>
</workbook>
</file>

<file path=xl/sharedStrings.xml><?xml version="1.0" encoding="utf-8"?>
<sst xmlns="http://schemas.openxmlformats.org/spreadsheetml/2006/main" count="509" uniqueCount="509">
  <si>
    <t>Votre situation financière au 02/11/2025</t>
  </si>
  <si>
    <t>Compte</t>
  </si>
  <si>
    <t>R.I.B.</t>
  </si>
  <si>
    <t>Solde</t>
  </si>
  <si>
    <t>Dev</t>
  </si>
  <si>
    <t>C/C Contrat Pro Global SABERCAFE</t>
  </si>
  <si>
    <t>10096 18404 00036528501</t>
  </si>
  <si>
    <t>EUR</t>
  </si>
  <si>
    <t>Situation de votre compte C/C Contrat Pro Global SABERCAFE (EUR) au 02/11/2025</t>
  </si>
  <si>
    <t>R.I.B. : 10096 18404 00036528501</t>
  </si>
  <si>
    <t xml:space="preserve">Solde initial : </t>
  </si>
  <si>
    <t>Liste de vos comptes</t>
  </si>
  <si>
    <t>Date</t>
  </si>
  <si>
    <t>Valeur</t>
  </si>
  <si>
    <t>Libellé</t>
  </si>
  <si>
    <t>Débit</t>
  </si>
  <si>
    <t>Crédit</t>
  </si>
  <si>
    <t>PRLV SEPA ENGIE 300002356721-320007845004</t>
  </si>
  <si>
    <t>PRLV SEPA Y2A EXPERTS Y2A LA MAISON DU GEEK</t>
  </si>
  <si>
    <t>PRLV SEPA GENERALI IARD SA CONTRAT AS956370-25102024127830</t>
  </si>
  <si>
    <t>PRLV SEPA GENERALI IARD SA CONTRAT AU090717-25102024151386</t>
  </si>
  <si>
    <t>PRLV SEPA GENERALI IARD SA CONTRAT AU110495-25102024151386</t>
  </si>
  <si>
    <t>VIR INST LA MAISON DU GEEK ENVOYE PAR SUMUP 4310094747919618</t>
  </si>
  <si>
    <t>PAIEMENT CB 0411 92200 NEUILLY ALMA S.O.S MOTEU CARTE 7904 HIR082431000923145</t>
  </si>
  <si>
    <t>VIR DRFIP ILE DE FRANCE ET D 1D0750000144795973 TEL : 044252</t>
  </si>
  <si>
    <t>PAIEMENT CB 0511 CLICHY KEYYO CARTE 7904 HIR082431100764699</t>
  </si>
  <si>
    <t>VRST REF18080A04</t>
  </si>
  <si>
    <t>VIR INST FDP VH43123NGYQ8EE01</t>
  </si>
  <si>
    <t>VIR M. BENJAMIN DEGUITRE</t>
  </si>
  <si>
    <t>VIR LOYERGEEK</t>
  </si>
  <si>
    <t>FACT SGT24005241795622 DONT TVA 1,10EUR</t>
  </si>
  <si>
    <t>PRLV SEPA FREE MOBILE</t>
  </si>
  <si>
    <t>VIR PAYPAL PTE. LTD. 227637321</t>
  </si>
  <si>
    <t>FRAIS PAIE CB OP 32,40 MYR HIR082431606512534</t>
  </si>
  <si>
    <t>PAIEMENT CB 0911 32,40 MYR GRAB-EC CARTE 7904 HIR082431606512534</t>
  </si>
  <si>
    <t>PAIEMENT CB 1011 PARIS KLARNA*AIRBNB EU CARTE 7904 HIR082431606665027</t>
  </si>
  <si>
    <t>PRLV SEPA ORANGE SA VOTRE ABONNEMENT FIBRE (FACTURE</t>
  </si>
  <si>
    <t>PRLV SEPA CEGEMA</t>
  </si>
  <si>
    <t>PAIEMENT CB 1211 LUXEMBOURG PAYPAL *PACKLINK CARTE 7904 HIR082431800655884</t>
  </si>
  <si>
    <t>VIR PAYPAL PTE. LTD. 228026267</t>
  </si>
  <si>
    <t>PRLV SEPA URSSAF PACA UR 937000002069458319 OCT 24</t>
  </si>
  <si>
    <t>VIR PAYPAL PTE. LTD. 228094246</t>
  </si>
  <si>
    <t>PAIEMENT CB 1711 LUXEMBOURG PAYPAL *ITUNESAP CARTE 7904 HIR082432303720320</t>
  </si>
  <si>
    <t>VIR DRFIP ILE DE FRANCE ET D 1D0750000144991809 TEL : 044252</t>
  </si>
  <si>
    <t>PAIEMENT PSC 1411 CANNES AUTO LIVE PAYS D CARTE 7904 HIR082432307268868</t>
  </si>
  <si>
    <t>VIR PAYPAL PTE. LTD. 228408047</t>
  </si>
  <si>
    <t>PAIEMENT CB 2111 LUXEMBOURG PAYPAL *HOSTINGE CARTE 7904 HIR082432700539911</t>
  </si>
  <si>
    <t>VRST REF18307A02</t>
  </si>
  <si>
    <t>PAIEMENT CB 2611 LYON MOBILAX CARTE 7904 HIR082433201854616</t>
  </si>
  <si>
    <t>PAIEMENT CB 2611 SOULEUVRE EN WATTIZ FR CARTE 7904 HIR082433200684830</t>
  </si>
  <si>
    <t>PRLV SEPA DGFIP TVA-112024-3310CA3</t>
  </si>
  <si>
    <t>VIR PAYPAL PTE. LTD. 229215166</t>
  </si>
  <si>
    <t>PRLV SEPA Y2A EXPERTS Y2A MAISON GEEK</t>
  </si>
  <si>
    <t>PRLV SEPA ENGIE 300002356721-320007892040</t>
  </si>
  <si>
    <t>VIR PAYPAL PTE. LTD. 229377252</t>
  </si>
  <si>
    <t>PRLV SEPA GENERALI IARD SA CONTRAT AS956370-28112024131885</t>
  </si>
  <si>
    <t>PRLV SEPA GENERALI IARD SA CONTRAT AU090717-28112024154864</t>
  </si>
  <si>
    <t>PRLV SEPA GENERALI IARD SA CONTRAT AU110495-28112024154864</t>
  </si>
  <si>
    <t>VIR DRFIP ILE DE FRANCE ET D 1D0750000145607300 TEL : 044252</t>
  </si>
  <si>
    <t>PAIEMENT CB 0412 92200 NEUILLY ALMA S.O.S MOTEU CARTE 7904 HIR082433902155837</t>
  </si>
  <si>
    <t>PAIEMENT CB 0412 SOULEUVRE EN WATTIZ FR CARTE 7904 HIR082434000774526</t>
  </si>
  <si>
    <t>PAIEMENT CB 0312 CLICHY KEYYO CARTE 7904 HIR082433902517481</t>
  </si>
  <si>
    <t>VIR INST FDP VH43403N39RFAN01</t>
  </si>
  <si>
    <t>VIR PAYPAL PTE. LTD. 229456574</t>
  </si>
  <si>
    <t>VIR PAYPAL PTE. LTD. 229576971</t>
  </si>
  <si>
    <t>VIR PAYPAL PTE. LTD. 229660980</t>
  </si>
  <si>
    <t>FACT SGT24005241974915 DONT TVA 1,10EUR</t>
  </si>
  <si>
    <t>PRLV SEPA SECTOR ALARM SAS-SECT SFR-00006172</t>
  </si>
  <si>
    <t>PAIEMENT CB 0912 LUXEMBOURG ALIEXPRESS.COM CARTE 7904 HIR082434500500420</t>
  </si>
  <si>
    <t>VIR PAYPAL PTE. LTD. 229912935</t>
  </si>
  <si>
    <t>PAIEMENT CB 0912 06 NICE RLA VADS 2 CARTE 7904 HIR082434502516927</t>
  </si>
  <si>
    <t>PAIEMENT CB 1012 BEAULIEU SUR UTOPIA CARTE 7904 HIR082434602502854</t>
  </si>
  <si>
    <t>VIR PAYPAL PTE. LTD. 230055275</t>
  </si>
  <si>
    <t>VIR PAYPAL PTE. LTD. 230100061</t>
  </si>
  <si>
    <t>PAIEMENT CB 1112 BEAULIEU SUR UTOPIA CARTE 7904 HIR082434702547988</t>
  </si>
  <si>
    <t>PRLV SEPA AMAZON PAYMENTS EUROP 403-1837012-6636348 AMZN MKTP F</t>
  </si>
  <si>
    <t>PRLV SEPA AMAZON PAYMENTS EUROP 406-3951824-2052365 AMZN MKTP F</t>
  </si>
  <si>
    <t>VIR PAYPAL PTE. LTD. 230292901</t>
  </si>
  <si>
    <t>PAIEMENT CB 1212 BEAULIEU SUR UTOPIA CARTE 7904 HIR082434802474729</t>
  </si>
  <si>
    <t>PAIEMENT CB 1212 VINCENNES GIE INFOGREFFE CARTE 7904 HIR082434802175709</t>
  </si>
  <si>
    <t>PRLV SEPA AMAZON PAYMENTS EUROP 404-5638944-1625148 AMZN MKTP F</t>
  </si>
  <si>
    <t>PRLV SEPA URSSAF PACA UR 937000002069458319 NOV 24</t>
  </si>
  <si>
    <t>PRLV SEPA DIRECTION GENERALE DE 600215564419TLR2406026486729</t>
  </si>
  <si>
    <t>PRLV SEPA AMAZON EU SARL, SUCCU 407-6931234-5752365 AMAZON.FR 1</t>
  </si>
  <si>
    <t>VIR PAYPAL PTE. LTD. 230456046</t>
  </si>
  <si>
    <t>VIR INST PATINETTE FAC398NATHALIE ABITAN 4353175153912902</t>
  </si>
  <si>
    <t>PAIEMENT CB 1712 LUXEMBOURG PAYPAL *ITUNESAP CARTE 7904 HIR082435300700459</t>
  </si>
  <si>
    <t>VIR INST VOLT COR.P VH435423K8YUA001</t>
  </si>
  <si>
    <t>VIR PAYPAL PTE. LTD. 230554926</t>
  </si>
  <si>
    <t>VIR AMAZON PAYMENTS EUROPE S 2Z4IDUMS55J4LKLU</t>
  </si>
  <si>
    <t>VIR PAYPAL PTE. LTD. 230662981</t>
  </si>
  <si>
    <t>VIR PAYPAL PTE. LTD. 230783112</t>
  </si>
  <si>
    <t>PAIEMENT CB 2112 LUXEMBOURG PAYPAL *HOSTINGE CARTE 7904 HIR082435803775233</t>
  </si>
  <si>
    <t>PAIEMENT CB 2012 LYON MOBILAX CARTE 7904 HIR082435808632333</t>
  </si>
  <si>
    <t>VIR PAYPAL PTE. LTD. 230963287</t>
  </si>
  <si>
    <t>PRLV SEPA DGFIP TVA-122024-3310CA3</t>
  </si>
  <si>
    <t>VIR INST LA MAISON DU GEEK ENVOYE PAR SUMUP 5001062648584338</t>
  </si>
  <si>
    <t>VIR DRFIP ILE DE FRANCE ET D 1D0750000146480530 TEL : 044252</t>
  </si>
  <si>
    <t>PRLV SEPA ENGIE 300002356721-420006971927</t>
  </si>
  <si>
    <t>PRLV SEPA GENERALI IARD SA CONTRAT AS956370-27122024141450</t>
  </si>
  <si>
    <t>PRLV SEPA GENERALI IARD SA CONTRAT AU090717-27122024167263</t>
  </si>
  <si>
    <t>PRLV SEPA GENERALI IARD SA CONTRAT AU110495-27122024167264</t>
  </si>
  <si>
    <t>PAIEMENT CB 0401 92200 NEUILLY ALMA S.O.S MOTEU CARTE 7904 HIR082500603667043</t>
  </si>
  <si>
    <t>VIR PAYPAL PTE. LTD. 231486031</t>
  </si>
  <si>
    <t>VIR INST FDP VH50083WQ06FUU01</t>
  </si>
  <si>
    <t>PAIEMENT CB 0701 CLICHY KEYYO CARTE 7904 HIR082500802263461</t>
  </si>
  <si>
    <t>FACT SGT25005240030128 DONT TVA 1,10EUR</t>
  </si>
  <si>
    <t>PRLV SEPA SECTOR ALARM SAS-SECT SFR-00083175</t>
  </si>
  <si>
    <t>VIR INST SABER GUEZGUEZ APPORT 5010162353728979</t>
  </si>
  <si>
    <t>VIR INST LA MAISON DU GEEK ENVOYE PAR SUMUP 5010163900050320</t>
  </si>
  <si>
    <t>VIR INST M. BENJAMIN DEGUITRE VH5010345LT2PW01</t>
  </si>
  <si>
    <t>VIR INST LA MAISON DU GEEK ENVOYE PAR SUMUP 5013125011359812</t>
  </si>
  <si>
    <t>PAIEMENT CB 1001 BEAULIEU SUR UTOPIA CARTE 7904 HIR082501303446603</t>
  </si>
  <si>
    <t>PRLV SEPA CEGEMA 20250112CEGEMA 000326755</t>
  </si>
  <si>
    <t>PRLV SEPA URSSAF PACA UR 937000002069458319 DEC 24</t>
  </si>
  <si>
    <t>VIR INST LA MAISON DU GEEK ENVOYE PAR SUMUP 5016172341140472</t>
  </si>
  <si>
    <t>PAIEMENT PSC 1501 LE CANNET E.LECLERC CARTE 7904 HIR082501600592768</t>
  </si>
  <si>
    <t>VIR INST LA MAISON DU GEEK ENVOYE PAR SUMUP 5016194637333954</t>
  </si>
  <si>
    <t>VIR FDP</t>
  </si>
  <si>
    <t>PAIEMENT CB 1601 LUXEMBOURG ALIEXPRESS.COM CARTE 7904 HIR082501700429052</t>
  </si>
  <si>
    <t>PAIEMENT CB 1601 LUXEMBOURG ALIEXPRESS.COM CARTE 7904 HIR082501701642352</t>
  </si>
  <si>
    <t>PAIEMENT CB 1601 LUXEMBOURG ALIEXPRESS CARTE 7904 HIR082501700419342</t>
  </si>
  <si>
    <t>PAIEMENT CB 1501 BEAULIEU SUR UTOPIA CARTE 7904 HIR082501602242311</t>
  </si>
  <si>
    <t>VIR DE M VINCENT AERTS M VINCENT AERTS</t>
  </si>
  <si>
    <t>VIR DRFIP ILE DE FRANCE ET D 1D0750000146712022 TEL : 044252</t>
  </si>
  <si>
    <t>PAIEMENT CB 1701 LUXEMBOURG PAYPAL *ITUNESAP CARTE 7904 HIR082502001901040</t>
  </si>
  <si>
    <t>2 PAIEMENTS 1601 PARIS CEDEX 1 LA POSTE.FR CARTE 7904 HIL142502000075428</t>
  </si>
  <si>
    <t>FRAIS PAIE CB OP 30,58 EUR HIR082502006539104</t>
  </si>
  <si>
    <t>PAIEMENT CB 1601 30,58 EUR ALIEXPRESS.COM CARTE 7904 HIR082502006539104</t>
  </si>
  <si>
    <t>IMPAYE - PRLV SEPA FREE MOBILE</t>
  </si>
  <si>
    <t>PAIEMENT CB 2001 91940 LES ULI VOLT-CORP CARTE 7904 HIR082502006944472</t>
  </si>
  <si>
    <t>FRAIS PAIE CB OP 9,67 EUR HIR082502101754506</t>
  </si>
  <si>
    <t>PAIEMENT CB 2001 9,67 EUR ALIEXPRESS.COM CARTE 7904 HIR082502101754506</t>
  </si>
  <si>
    <t>VIR AMAZON EU SARL, SUCCURSA 18000LL71UH7KL68</t>
  </si>
  <si>
    <t>VIR PAYPAL PTE. LTD. 232422988</t>
  </si>
  <si>
    <t>PAIEMENT CB 2101 LUXEMBOURG PAYPAL *HOSTINGE CARTE 7904 HIR082502200487937</t>
  </si>
  <si>
    <t>FRAIS PAIE CB OP 2,92 EUR HIR082502201354727</t>
  </si>
  <si>
    <t>PAIEMENT CB 2101 2,92 EUR ALIEXPRESS.COM CARTE 7904 HIR082502201354727</t>
  </si>
  <si>
    <t>PAIEMENT CB 2301 MURCIA TEES &amp; THINGS (E CARTE 7904 HIR082502400172632</t>
  </si>
  <si>
    <t>PAIEMENT CB 2301 LUXEMBOURG PAYPAL *ITUNESAP CARTE 7904 HIR082502400519660</t>
  </si>
  <si>
    <t>PAIEMENT CB 2201 LYON MOBILAX CARTE 7904 HIR082502302174397</t>
  </si>
  <si>
    <t>VIR INST LA MAISON DU GEEK ENVOYE PAR SUMUP 5025012244483120</t>
  </si>
  <si>
    <t>PRLV SEPA CEP TRESO SANTE PREV CEP TRESO SANTE PREV/DSN1364395</t>
  </si>
  <si>
    <t>PRLV SEPA AG2R REUNICA RETRAITE - AG2R REUNICA - 20241</t>
  </si>
  <si>
    <t>PAIEMENT CB 2401 PARIS LEBONCOIN CARTE 7904 HIR082502700925467</t>
  </si>
  <si>
    <t>PAIEMENT CB 2301 BEAULIEU SUR UTOPIA CARTE 7904 HIR082502702243999</t>
  </si>
  <si>
    <t>VIR AMAZON EU SARL, SUCCURSA 9FUQWIV73HZ76QLW</t>
  </si>
  <si>
    <t>PAIEMENT CB 2601 LUXEMBOURG PAYPAL *HOSTINGE CARTE 7904 HIR082502706934185</t>
  </si>
  <si>
    <t>PRLV SEPA DGFIP TVA-012025-3310CA3</t>
  </si>
  <si>
    <t>PAIEMENT CB 2901 LUXEMBOURG ALIEXPRESS.COM CARTE 7904 HIR082503000183536</t>
  </si>
  <si>
    <t>PAIEMENT CB 2801 PARIS CEDEX 1 LA POSTE.FR CARTE 7904 HIR082503000034004</t>
  </si>
  <si>
    <t>VIR INST LA MAISON DU GEEK ENVOYE PAR SUMUP 5031001852986123</t>
  </si>
  <si>
    <t>VIR INST LA MAISON DU GEEK ENVOYE PAR SUMUP 5032225746224182</t>
  </si>
  <si>
    <t>PRLV SEPA ENGIE 300002356721-120009849588</t>
  </si>
  <si>
    <t>PAIEMENT CB 3101 19, RUE DE BI ALIEXPRESS.COM CARTE 7904 HIR082503502045492</t>
  </si>
  <si>
    <t>PAIEMENT CB 3101 PARIS CEDEX 1 LA POSTE.FR CARTE 7904 HIR082503500319474</t>
  </si>
  <si>
    <t>PRLV SEPA GENERALI IARD SA CONTRAT AS956370-26012025136501</t>
  </si>
  <si>
    <t>PRLV SEPA GENERALI IARD SA CONTRAT AU090717-26012025161002</t>
  </si>
  <si>
    <t>PRLV SEPA GENERALI IARD SA CONTRAT AU110495-26012025161003</t>
  </si>
  <si>
    <t>VIR DRFIP ILE DE FRANCE ET D 1D0750000147305463 TEL : 044252</t>
  </si>
  <si>
    <t>PAIEMENT CB 0402 CLICHY KEYYO CARTE 7904 HIR082503600720091</t>
  </si>
  <si>
    <t>PAIEMENT CB 0402 92200 NEUILLY ALMA S.O.S MOTEU CARTE 7904 HIR082503502324862</t>
  </si>
  <si>
    <t>VIR INST LA MAISON DU GEEK ENVOYE PAR SUMUP 5036233035709988</t>
  </si>
  <si>
    <t>VIR PAYPAL PTE. LTD. 233463899</t>
  </si>
  <si>
    <t>FACT SGT25005240216366 DONT TVA 1,10EUR</t>
  </si>
  <si>
    <t>PRLV SEPA SECTOR ALARM SAS-SECT SFR-00179346</t>
  </si>
  <si>
    <t>VIR INST LA MAISON DU GEEK ENVOYE PAR SUMUP 5041113128179074</t>
  </si>
  <si>
    <t>VIR INST FDP VH50430F7N7B0701</t>
  </si>
  <si>
    <t>VIR INST M. BENJAMIN DEGUITRE VH50430F8BZ58Y01</t>
  </si>
  <si>
    <t>PRLV SEPA AMAZON PAYMENTS EUROP 406-2696020-2020365 AMZN MKTP F</t>
  </si>
  <si>
    <t>PAIEMENT CB 1102 LYON MOBILAX CARTE 7904 HIR082504300703367</t>
  </si>
  <si>
    <t>PRLV SEPA CEGEMA 20250212CEGEMA 000464335</t>
  </si>
  <si>
    <t>PAIEMENT CB 1102 BEAULIEU SUR UTOPIA CARTE 7904 HIR082504302276814</t>
  </si>
  <si>
    <t>F COMMISSION D'INTERVENTION</t>
  </si>
  <si>
    <t>PRLV SEPA URSSAF PACA UR 937000002069458319 JANV25</t>
  </si>
  <si>
    <t>VIR INST DALY STRUCTURE VIR DE DALY STRUCTURE 5051165104042832</t>
  </si>
  <si>
    <t>PRLV SEPA AMAZON EU SARL, SUCCU 408-5206008-0932333 AMAZON.FR 2</t>
  </si>
  <si>
    <t>PRLV SEPA AMAZON PAYMENTS EUROP 408-0357216-9821107 AMZN MKTP F</t>
  </si>
  <si>
    <t>PRLV SEPA AMAZON PAYMENTS EUROP 408-7112570-4517145 AMZN MKTP F</t>
  </si>
  <si>
    <t>VIR INST DALY STRUCTURE VIR DE DALY STRUCTURE 5056175049280971</t>
  </si>
  <si>
    <t>PAIEMENT CB 2402 91940 LES ULI VOLT-CORP CARTE 7904 HIR082505508305224</t>
  </si>
  <si>
    <t>PRLV SEPA DGFIP TVA-022025-3310CA3</t>
  </si>
  <si>
    <t>VIR INST LOYERGEEK VH50622WDV41M801</t>
  </si>
  <si>
    <t>PRLV SEPA Y2A EXPERTS</t>
  </si>
  <si>
    <t>VIR INST LA MAISON DU GEEK ENVOYE PAR SUMUP 5063114504800623</t>
  </si>
  <si>
    <t>PRLV SEPA AMAZON PAYMENTS EUROP 405-4162689-3654758 AMZN MKTP F</t>
  </si>
  <si>
    <t>PRLV SEPA AMAZON PAYMENTS EUROP 403-7930452-9252317 AMZN MKTP F</t>
  </si>
  <si>
    <t>PRLV SEPA GENERALI IARD SA CONTRAT AS956370-26022025129964</t>
  </si>
  <si>
    <t>PRLV SEPA GENERALI IARD SA CONTRAT AU090717-26022025152588</t>
  </si>
  <si>
    <t>PRLV SEPA GENERALI IARD SA CONTRAT AU110495-26022025152588</t>
  </si>
  <si>
    <t>VIR INST LA MAISON DU GEEK ENVOYE PAR SUMUP 5064054225100109</t>
  </si>
  <si>
    <t>PAIEMENT CB 0403 92200 NEUILLY ALMA S.O.S MOTEU CARTE 7904 HIR082506302211145</t>
  </si>
  <si>
    <t>PRLV SEPA ENGIE 300002356721-820000413361</t>
  </si>
  <si>
    <t>VIR DRFIP ILE DE FRANCE ET D 1D0750000148267644 TEL : 044252</t>
  </si>
  <si>
    <t>VIR INST LA MAISON DU GEEK ENVOYE PAR SUMUP 5065060307993521</t>
  </si>
  <si>
    <t>VIR INST LA MAISON DU GEEK ENVOYE PAR SUMUP 5066194617646906</t>
  </si>
  <si>
    <t>VIR INST LA MAISON DU GEEK ENVOYE PAR SUMUP 5068020602117209</t>
  </si>
  <si>
    <t>FACT SGT25005240395889 DONT TVA 1,10EUR</t>
  </si>
  <si>
    <t>PRLV SEPA SECTOR ALARM SAS-SECT SFR-00309500</t>
  </si>
  <si>
    <t>VIR INST M. BENJAMIN DEGUITRE VH50691E46M41W01</t>
  </si>
  <si>
    <t>VIR INST FDP VH50691E64S28D01</t>
  </si>
  <si>
    <t>VIR OAE 502500010864 ELAK06346A</t>
  </si>
  <si>
    <t>PAIEMENT CB 0603 CLICHY KEYYO CARTE 7904 HIR082506602466332</t>
  </si>
  <si>
    <t>PAIEMENT CB 0703 BEAULIEU SUR UTOPIA CARTE 7904 HIR082506904737051</t>
  </si>
  <si>
    <t>PRLV SEPA CEGEMA 20250312CEGEMA 000596051</t>
  </si>
  <si>
    <t>VIR INST LA MAISON DU GEEK ENVOYE PAR SUMUP 5075050009532826</t>
  </si>
  <si>
    <t>PRLV SEPA AMAZON PAYMENTS EUROP 407-4153069-7907506 AMZN MKTP F</t>
  </si>
  <si>
    <t>PRLV SEPA AMAZON PAYMENTS EUROP 403-0145897-5821140 AMZN MKTP F</t>
  </si>
  <si>
    <t>PRLV SEPA AMAZON EU SARL, SUCCU 407-1484448-1880345 AMAZON.FR 6</t>
  </si>
  <si>
    <t>PRLV SEPA URSSAF PACA UR 937000002069458319 FEV 25</t>
  </si>
  <si>
    <t>VIR INST LA MAISON DU GEEK ENVOYE PAR SUMUP 5080170134608049</t>
  </si>
  <si>
    <t>VIR AMAZON PAYMENTS EUROPE S 4FFNHAY94QN24KFL</t>
  </si>
  <si>
    <t>PRLV SEPA DGFIP TVA-032025-3310CA3</t>
  </si>
  <si>
    <t>VIR AMAZON PAYMENTS EUROPE S 5P487TSKAOMM8F1J</t>
  </si>
  <si>
    <t>PAIEMENT CB 2603 BEAULIEU SUR UTOPIA CARTE 7904 HIR082508602258383</t>
  </si>
  <si>
    <t>VIR INST LA MAISON DU GEEK ENVOYE PAR SUMUP 5089130411874750</t>
  </si>
  <si>
    <t>PRLV SEPA ENGIE 300002356721-820005351766</t>
  </si>
  <si>
    <t>PAIEMENT CB 0104 BEAULIEU SUR UTOPIA CARTE 7904 HIR082509202472689</t>
  </si>
  <si>
    <t>PAIEMENT CB 0204 BEAULIEU SUR UTOPIA CARTE 7904 HIR082509302515425</t>
  </si>
  <si>
    <t>VIR INST LA MAISON DU GEEK ENVOYE PAR SUMUP 5094191203656780</t>
  </si>
  <si>
    <t>PRLV SEPA GENERALI IARD SA CONTRAT AS956370-20032025133167</t>
  </si>
  <si>
    <t>PRLV SEPA GENERALI IARD SA CONTRAT AU090717-20032025156409</t>
  </si>
  <si>
    <t>PRLV SEPA GENERALI IARD SA CONTRAT AU110495-20032025156409</t>
  </si>
  <si>
    <t>VIR DRFIP ILE DE FRANCE ET D 1D0750000149254178 TEL : 044252</t>
  </si>
  <si>
    <t>PAIEMENT CB 0304 CLICHY KEYYO CARTE 7904 HIR082509402617029</t>
  </si>
  <si>
    <t>PAIEMENT CB 0404 92200 NEUILLY ALMA S.O.S MOTEU CARTE 7904 HIR082509402364022</t>
  </si>
  <si>
    <t>VIR PAYPAL PTE. LTD. 237792516</t>
  </si>
  <si>
    <t>FACT SGT25005240578173 DONT TVA 1,10EUR</t>
  </si>
  <si>
    <t>PRLV SEPA SECTOR ALARM SAS-SECT SFR-00380040</t>
  </si>
  <si>
    <t>PAIEMENT CB 0904 SOULEUVRE EN WATTIZ FR CARTE 7904 HIR082510000757597</t>
  </si>
  <si>
    <t>VIR INST FDP VH51012382DM7T01</t>
  </si>
  <si>
    <t>VIR INST M. BENJAMIN DEGUITRE VH510123BGJABF01</t>
  </si>
  <si>
    <t>PRLV SEPA CEGEMA 20250412CEGEMA 000731132</t>
  </si>
  <si>
    <t>VRST REF G17234A00</t>
  </si>
  <si>
    <t>VIR INST LOYERGEEK VH5104344G8VML01</t>
  </si>
  <si>
    <t>PAIEMENT CB 1104 91940 LES ULI VOLT-CORP CARTE 7904 HIR082510103204145</t>
  </si>
  <si>
    <t>PRLV SEPA URSSAF PACA UR 937000002069458319 MARS25</t>
  </si>
  <si>
    <t>PAIEMENT CB 1704 PARIS 8 FREE MOBILE CARTE 7904 HIR082510800558146</t>
  </si>
  <si>
    <t>FRAIS PAIE CB OP 47,48 MYR HIR082511202527284</t>
  </si>
  <si>
    <t>PAIEMENT CB 2104 47,48 MYR GRAB-EC CARTE 7904 HIR082511202527284</t>
  </si>
  <si>
    <t>PAIEMENT PSC 2104 RUNGIS MAGASIN U CARTE 7904 HIR082511204543819</t>
  </si>
  <si>
    <t>PAIEMENT CB 2204 PAYLI2441535/ AMAZON PAYMENTS CARTE 7904 HIR082511300666028</t>
  </si>
  <si>
    <t>VIR INST LA MAISON DU GEEK ENVOYE PAR SUMUP 5114113200088633</t>
  </si>
  <si>
    <t>PAIEMENT CB 2404 PARIS LEBONCOIN CARTE 7904 HIR082511500650909</t>
  </si>
  <si>
    <t>VIR INST LA MAISON DU GEEK ENVOYE PAR SUMUP 5118095418651339</t>
  </si>
  <si>
    <t>PRLV SEPA DGFIP TVA-042025-3310CA3</t>
  </si>
  <si>
    <t>PAIEMENT CB 2904 LYON MOBILAX CARTE 7904 HIR082512000653815</t>
  </si>
  <si>
    <t>VIR INST LA MAISON DU GEEK ENVOYE PAR SUMUP 5122111704656673</t>
  </si>
  <si>
    <t>PAIEMENT CB 2904 BEAULIEU SUR UTOPIA CARTE 7904 HIR082512002465208</t>
  </si>
  <si>
    <t>PRLV SEPA ENGIE 300002356721-220008728460</t>
  </si>
  <si>
    <t>PRLV SEPA GENERALI IARD SA CONTRAT AS956370-30042025143759</t>
  </si>
  <si>
    <t>PRLV SEPA GENERALI IARD SA CONTRAT AU090717-30042025166522</t>
  </si>
  <si>
    <t>PRLV SEPA GENERALI IARD SA CONTRAT AU110495-30042025166522</t>
  </si>
  <si>
    <t>VIR INST LA MAISON DU GEEK ENVOYE PAR SUMUP 5125131902171714</t>
  </si>
  <si>
    <t>VIR INST LOYERGEEK VH51252KLEMKEU01</t>
  </si>
  <si>
    <t>FRAIS PAIE CB OP 20,04 USD HIR082512503605195</t>
  </si>
  <si>
    <t>PAIEMENT CB 0205 20,04 USD CURSOR USAGE MID CARTE 7904 HIR082512503605195</t>
  </si>
  <si>
    <t>PAIEMENT CB 0305 CLICHY KEYYO CARTE 7904 HIR082512503865214</t>
  </si>
  <si>
    <t>PAIEMENT CB 0405 92200 NEUILLY ALMA S.O.S MOTEU CARTE 7904 HIR082512507885309</t>
  </si>
  <si>
    <t>FRAIS PAIE CB OP 20,04 USD HIR082512601884545</t>
  </si>
  <si>
    <t>PAIEMENT CB 0505 20,04 USD CURSOR USAGE MID CARTE 7904 HIR082512601884545</t>
  </si>
  <si>
    <t>FRAIS PAIE CB OP 20,00 USD HIR082512601884549</t>
  </si>
  <si>
    <t>PAIEMENT CB 0505 20,00 USD CURSOR, AI POWER CARTE 7904 HIR082512601884549</t>
  </si>
  <si>
    <t>PAIEMENT CB 0505 BEAULIEU SUR UTOPIA CARTE 7904 HIR082512602668578</t>
  </si>
  <si>
    <t>PAIEMENT CB 0605 LYON MOBILAX CARTE 7904 HIR082512700665505</t>
  </si>
  <si>
    <t>VIR DRFIP ILE DE FRANCE ET D 1D0750000150217319 TEL : 044252</t>
  </si>
  <si>
    <t>FRAIS PAIE CB OP 10,55 USD HIR082512701606427</t>
  </si>
  <si>
    <t>PAIEMENT CB 0605 10,55 USD CURSOR USAGE AP CARTE 7904 HIR082512701606427</t>
  </si>
  <si>
    <t>PAIEMENT PSC 0705 CANNES SAS LA CABANE CARTE 7904 HIR082512802618413</t>
  </si>
  <si>
    <t>FACT SGT25005240766989 DONT TVA 1,10EUR</t>
  </si>
  <si>
    <t>PRLV SEPA CEGEMA 20250512CEGEMA 000874601</t>
  </si>
  <si>
    <t>PRLV SEPA SECTOR ALARM SAS-SECT SFR-00457228</t>
  </si>
  <si>
    <t>FRAIS PAIE CB OP 20,04 USD HIR082513206346204</t>
  </si>
  <si>
    <t>PAIEMENT CB 1005 20,04 USD CURSOR USAGE MID CARTE 7904 HIR082513206346204</t>
  </si>
  <si>
    <t>FRAIS PAIE CB OP 20,00 USD HIR082513301740435</t>
  </si>
  <si>
    <t>PAIEMENT CB 1205 20,00 USD CURSOR USAGE MID CARTE 7904 HIR082513301740435</t>
  </si>
  <si>
    <t>FRAIS PAIE CB OP 20,00 USD HIR082513301943720</t>
  </si>
  <si>
    <t>PAIEMENT CB 1205 20,00 USD CURSOR USAGE MID CARTE 7904 HIR082513301943720</t>
  </si>
  <si>
    <t>VIR PAYPAL PTE. LTD. 240082836</t>
  </si>
  <si>
    <t>FRAIS PAIE CB OP 38,87 USD HIR082513501675456</t>
  </si>
  <si>
    <t>PAIEMENT CB 1405 38,87 USD LEMSQZY* XIAODAS CARTE 7904 HIR082513501675456</t>
  </si>
  <si>
    <t>PRLV SEPA URSSAF PACA UR 937000002069458319 AVR 25</t>
  </si>
  <si>
    <t>VIR AMAZON PAYMENTS EUROPE S 5ZROIHGI6XTON9TG</t>
  </si>
  <si>
    <t>PAIEMENT PSC 1805 CANNES NAGA STREET BORN CARTE 7904 HIR082513903773280</t>
  </si>
  <si>
    <t>PAIEMENT PSC 1605 LE CANNET E.LECLERC CARTE 7904 HIR082513902069516</t>
  </si>
  <si>
    <t>PAIEMENT CB 1605 91940 LES ULI VOLT-CORP CARTE 7904 HIR082513603091583</t>
  </si>
  <si>
    <t>PAIEMENT PSC 1805 CANNES NAGA STREET FOOD CARTE 7904 HIR082513903773308</t>
  </si>
  <si>
    <t>FRAIS PAIE CB OP 20,64 USD HIR082514001636743</t>
  </si>
  <si>
    <t>PAIEMENT CB 1905 20,64 USD CURSOR USAGE MID CARTE 7904 HIR082514001636743</t>
  </si>
  <si>
    <t>FRAIS PAIE CB OP 20,03 USD HIR082514000170952</t>
  </si>
  <si>
    <t>PAIEMENT CB 1905 20,03 USD CURSOR USAGE MID CARTE 7904 HIR082514000170952</t>
  </si>
  <si>
    <t>PAIEMENT PSC 1805 LE CANNET CACH CARTE 7904 HIR082513907371508</t>
  </si>
  <si>
    <t>FRAIS PAIE CB OP 20,02 USD HIR082514001636746</t>
  </si>
  <si>
    <t>PAIEMENT CB 1905 20,02 USD CURSOR USAGE MID CARTE 7904 HIR082514001636746</t>
  </si>
  <si>
    <t>2 PAIEMENTS 2105 ITUNES.COM APPLE.COM/BILL CARTE 7904 HIL142514200034319</t>
  </si>
  <si>
    <t>VIR PAYPAL PTE. LTD. 240783753</t>
  </si>
  <si>
    <t>FRAIS PAIE CB OP 100,33 USD HIR082514301776136</t>
  </si>
  <si>
    <t>PAIEMENT CB 2205 100,33 USD CURSOR USAGE MID CARTE 7904 HIR082514301776136</t>
  </si>
  <si>
    <t>PAIEMENT CB 2205 ITUNES.COM APPLE.COM/BILL CARTE 7904 HIR082514301916918</t>
  </si>
  <si>
    <t>PRLV SEPA AG2R REUNICA RETRAITE - AG2R REUNICA - 20250</t>
  </si>
  <si>
    <t>PAIEMENT CB 2505 ITUNES.COM APPLE.COM/BILL CARTE 7904 HIR082514606633667</t>
  </si>
  <si>
    <t>FRAIS PAIE CB OP 100,00 USD HIR082514701491985</t>
  </si>
  <si>
    <t>PAIEMENT CB 2605 100,00 USD CURSOR USAGE MID CARTE 7904 HIR082514701491985</t>
  </si>
  <si>
    <t>PAIEMENT CB 2505 91940 LES ULI VOLT-CORP CARTE 7904 HIR082514607726526</t>
  </si>
  <si>
    <t>PAIEMENT CB 2705 PARIS LEBONCOIN CARTE 7904 HIR082514800573959</t>
  </si>
  <si>
    <t>PAIEMENT PSC 2905 CANNES BEN OTHMAN ABBE CARTE 7904 HIR082515000493377</t>
  </si>
  <si>
    <t>PRLV SEPA ENGIE 300002356721-420007109128</t>
  </si>
  <si>
    <t>PRLV SEPA AMAZON PAYMENTS EUROP 402-0757685-1256314 AMZN MKTP F</t>
  </si>
  <si>
    <t>PAIEMENT PSC 3105 CALLIAN ACTION CARTE 7904 HIR082515307820320</t>
  </si>
  <si>
    <t>PRLV SEPA GENERALI IARD SA CONTRAT AS956370-28052025143827</t>
  </si>
  <si>
    <t>PRLV SEPA GENERALI IARD SA CONTRAT AU090717-28052025166253</t>
  </si>
  <si>
    <t>PRLV SEPA GENERALI IARD SA CONTRAT AU110495-28052025166254</t>
  </si>
  <si>
    <t>PAIEMENT PSC 0406 LE CANNET CACH CARTE 7904 HIR082515600001113</t>
  </si>
  <si>
    <t>PAIEMENT CB 0306 CLICHY KEYYO CARTE 7904 HIR082515502504352</t>
  </si>
  <si>
    <t>PAIEMENT CB 0406 92200 NEUILLY ALMA S.O.S MOTEU CARTE 7904 HIR082515502134104</t>
  </si>
  <si>
    <t>VIR ASP AGENCE COMPTABLE 1D0750000151174988-TEL---044252</t>
  </si>
  <si>
    <t>PAIEMENT CB 0506 SHEUNG WAN BITCODES CARTE 7904 HIR082515603252706</t>
  </si>
  <si>
    <t>FRAIS PAIE CB OP 20,00 USD HIR082515701989651</t>
  </si>
  <si>
    <t>PAIEMENT CB 0506 20,00 USD CURSOR, AI POWER CARTE 7904 HIR082515701989651</t>
  </si>
  <si>
    <t>PAIEMENT PSC 0506 CANNES AUTO LIVE PAYS D CARTE 7904 HIR082515702204706</t>
  </si>
  <si>
    <t>PAIEMENT PSC 0706 CANNES MCDONALD'S CANNE CARTE 7904 HIR082516003836711</t>
  </si>
  <si>
    <t>PAIEMENT CB 0706 36,85 USD CURSOR USAGE MA CARTE 7904 HIR082516001410160</t>
  </si>
  <si>
    <t>FRAIS PAIE CB OP 36,85 USD HIR082516001410160</t>
  </si>
  <si>
    <t>FACT SGT25005240950407 DONT TVA 1,10EUR</t>
  </si>
  <si>
    <t>PRLV SEPA SECTOR ALARM SAS-SECT SFR-00532251</t>
  </si>
  <si>
    <t>VIR INST LA MAISON DU GEEK ENVOYE PAR SUMUP 5162094648256964</t>
  </si>
  <si>
    <t>PRLV SEPA CEGEMA 20250612CEGEMA 001012838</t>
  </si>
  <si>
    <t>PAIEMENT CB 1106 ITUNES.COM APPLE.COM/BILL CARTE 7904 HIR082516300352200</t>
  </si>
  <si>
    <t>VIR INST LA MAISON DU GEEK ENVOYE PAR SUMUP 5165195928554296</t>
  </si>
  <si>
    <t>VIR INST LA MAISON DU GEEK ENVOYE PAR SUMUP 5167135118300769</t>
  </si>
  <si>
    <t>PAIEMENT PSC 1506 CANNES CARREFOUR EXPRES CARTE 7904 HIR082516703789681</t>
  </si>
  <si>
    <t>PAIEMENT CB 1306 91940 LES ULI VOLT-CORP CARTE 7904 HIR082516403242405</t>
  </si>
  <si>
    <t>2 PAIEMENTS 1306 VALBONNE SPAR CARTE 7904 HIL142516700087634</t>
  </si>
  <si>
    <t>PAIEMENT PSC 1306 CANNES LA GOULETTE CARTE 7904 HIR082516703247728</t>
  </si>
  <si>
    <t>PRLV SEPA URSSAF PACA UR 937000002069458319 MAI 25</t>
  </si>
  <si>
    <t>PAIEMENT CB 1606 PARIS 8 FREE MOBILE CARTE 7904 HIR082516800511849</t>
  </si>
  <si>
    <t>PAIEMENT CB 1606 PARIS 8 FREE MOBILE CARTE 7904 HIR082516800511894</t>
  </si>
  <si>
    <t>PAIEMENT CB 1606 ITUNES.COM APPLE.COM/BILL CARTE 7904 HIR082516801865794</t>
  </si>
  <si>
    <t>VIR INST LA MAISON DU GEEK ENVOYE PAR SUMUP 5169135306500395</t>
  </si>
  <si>
    <t>PAIEMENT PSC 1806 MOUANS-SARTOU SARL DAAB CARTE 7904 HIR082517100014418</t>
  </si>
  <si>
    <t>FRAIS PAIE CB OP 287,26 EUR HIR082517406840624</t>
  </si>
  <si>
    <t>PAIEMENT CB 2006 287,26 EUR ALIEXPRESS.COM CARTE 7904 HIR082517406840624</t>
  </si>
  <si>
    <t>PAIEMENT CB 2006 SOULEUVRE EN WATTIZ FR CARTE 7904 HIR082517401216735</t>
  </si>
  <si>
    <t>VIR INST LA MAISON DU GEEK ENVOYE PAR SUMUP 5175024447432723</t>
  </si>
  <si>
    <t>PAIEMENT PSC 2306 LE CANNET E.LECLERC CARTE 7904 HIR082517500461767</t>
  </si>
  <si>
    <t>PRLV SEPA DGFIP TVA-062025-3310CA3</t>
  </si>
  <si>
    <t>VIR INST LA MAISON DU GEEK ENVOYE PAR SUMUP 5181110935519201</t>
  </si>
  <si>
    <t>PAIEMENT CB 2606 PARIS CEDEX 1 LA POSTE.FR CARTE 7904 HIR082517802264812</t>
  </si>
  <si>
    <t>PAIEMENT PSC 2906 CANNES TABACARO CARTE 7904 HIR082518103626627</t>
  </si>
  <si>
    <t>PAIEMENT PSC 2806 LE CANNET BARC TABAC ARCAD CARTE 7904 HIR082518103221006</t>
  </si>
  <si>
    <t>PAIEMENT CB 3006 91940 LES ULI VOLT-CORP CARTE 7904 HIR082518109468291</t>
  </si>
  <si>
    <t>PAIEMENT CB 0107 BEAULIEU SUR UTOPIA CARTE 7904 HIR082518302466101</t>
  </si>
  <si>
    <t>PRLV SEPA ENGIE 300002356721-820005418330</t>
  </si>
  <si>
    <t>VIR ASP AGENCE COMPTABLE 1D0750000152012954-TEL---044252</t>
  </si>
  <si>
    <t>PRLV SEPA GENERALI IARD SA CONTRAT AS956370-26062025147664</t>
  </si>
  <si>
    <t>PRLV SEPA GENERALI IARD SA CONTRAT AU090717-26062025170736</t>
  </si>
  <si>
    <t>PRLV SEPA GENERALI IARD SA CONTRAT AU110495-26062025170736</t>
  </si>
  <si>
    <t>VIR INST S39007 - MAISONDUGEEK VH51882XN0ECEW01</t>
  </si>
  <si>
    <t>FRAIS PAIE CB OP 20,00 USD HIR082518806619647</t>
  </si>
  <si>
    <t>PAIEMENT CB 0507 20,00 USD CURSOR, AI POWER CARTE 7904 HIR082518806619647</t>
  </si>
  <si>
    <t>PAIEMENT CB 0307 CLICHY KEYYO CARTE 7904 HIR082518502602495</t>
  </si>
  <si>
    <t>FRAIS PAIE CB OP 57,89 USD HIR082518806600294</t>
  </si>
  <si>
    <t>PAIEMENT CB 0507 57,89 USD CURSOR USAGE JU CARTE 7904 HIR082518806600294</t>
  </si>
  <si>
    <t>PAIEMENT CB 0407 92200 NEUILLY ALMA S.O.S MOTEU CARTE 7904 HIR082518502104744</t>
  </si>
  <si>
    <t>FRAIS PAIE CB OP 100,00 USD HIR082518806665247</t>
  </si>
  <si>
    <t>PAIEMENT CB 0607 100,00 USD CURSOR USAGE MID CARTE 7904 HIR082518806665247</t>
  </si>
  <si>
    <t>FACT SGT25005241138982 DONT TVA 1,10EUR</t>
  </si>
  <si>
    <t>PRLV SEPA SECTOR ALARM SAS-SECT SFR-00609455</t>
  </si>
  <si>
    <t>PRLV SEPA CEGEMA 20250712CEGEMA 001150200</t>
  </si>
  <si>
    <t>FRAIS PAIE CB OP 100,03 USD HIR082519601463546</t>
  </si>
  <si>
    <t>PAIEMENT CB 1407 100,03 USD CURSOR USAGE MID CARTE 7904 HIR082519601463546</t>
  </si>
  <si>
    <t>VIR INST LA MAISON DU GEEK ENVOYE PAR SUMUP 5197005721027784</t>
  </si>
  <si>
    <t>PRLV SEPA URSSAF PACA UR 937000002069458319 JUIN25</t>
  </si>
  <si>
    <t>VIR INST LA MAISON DU GEEK ENVOYE PAR SUMUP 5197210555992429</t>
  </si>
  <si>
    <t>PAIEMENT CB 1807 BEAULIEU SUR UTOPIA CARTE 7904 HIR082520300136680</t>
  </si>
  <si>
    <t>PAIEMENT CB 2207 LUXEMBOURG ALIEXPRESS CARTE 7904 HIR082520301785179</t>
  </si>
  <si>
    <t>PAIEMENT CB 2107 91940 LES ULI VOLT-CORP CARTE 7904 HIR082520300483094</t>
  </si>
  <si>
    <t>FRAIS PAIE CB OP 100,08 USD HIR082520401825240</t>
  </si>
  <si>
    <t>PAIEMENT CB 2207 100,08 USD CURSOR USAGE MID CARTE 7904 HIR082520401825240</t>
  </si>
  <si>
    <t>BLOCAGE SAISIE ADM TIERS DET REF 100124755934890448780 14 05678395</t>
  </si>
  <si>
    <t>F SAISIE ADMIN TIERS DETENTEUR</t>
  </si>
  <si>
    <t>IMPAYE - PRLV SEPA CEP TRESO SANTE PREV CEP TRESO SANTE PREV/DSN1364395</t>
  </si>
  <si>
    <t>VIR INST LA MAISON DU GEEK ENVOYE PAR SUMUP 5206122228308592</t>
  </si>
  <si>
    <t>F FRAIS PRLV IMP 46,72EUR 20 PROVISION INSUFFISANTE</t>
  </si>
  <si>
    <t>VIR INST LA MAISON DU GEEK ENVOYE PAR SUMUP 5209140925113867</t>
  </si>
  <si>
    <t>PAIEMENT CB 2507 91940 LES ULI VOLT-CORP CARTE 7904 HIR082520603063757</t>
  </si>
  <si>
    <t>PRLV SEPA DGFIP TVA-072025-3310CA3</t>
  </si>
  <si>
    <t>FRAIS PAIE CB OP 20,00 USD HIR082521001753322</t>
  </si>
  <si>
    <t>PAIEMENT CB 2807 20,00 USD CURSOR, AI POWER CARTE 7904 HIR082521001753322</t>
  </si>
  <si>
    <t>VIR INST LA MAISON DU GEEK ENVOYE PAR SUMUP 5212005310500559</t>
  </si>
  <si>
    <t>VIR INST LA MAISON DU GEEK ENVOYE PAR SUMUP 5212145508704857</t>
  </si>
  <si>
    <t>PAIEMENT CB 2907 20,00 USD CURSOR USAGE MID CARTE 7904 HIR082521101811641</t>
  </si>
  <si>
    <t>FRAIS PAIE CB OP 20,00 USD HIR082521101811641</t>
  </si>
  <si>
    <t>VIR PAYPAL PTE. LTD. 245667062</t>
  </si>
  <si>
    <t>PAIEMENT CB 3007 PARIS UTOPIA CARTE 7904 HIR082521202334110</t>
  </si>
  <si>
    <t>VIR INST LA MAISON DU GEEK ENVOYE PAR SUMUP 5214144153276964</t>
  </si>
  <si>
    <t>VIR INST LA MAISON DU GEEK ENVOYE PAR SUMUP 5214212310885199</t>
  </si>
  <si>
    <t>PRLV SEPA ENGIE 300002356721-120009986189</t>
  </si>
  <si>
    <t>VIR INST M. BENJAMIN DEGUITRE VH52162YH34MPW01</t>
  </si>
  <si>
    <t>VIR MERLIN MAY</t>
  </si>
  <si>
    <t>VIR INST LOYERGEEK VH52162YRL3C8101</t>
  </si>
  <si>
    <t>VIR PAYPAL PTE. LTD. 245770054</t>
  </si>
  <si>
    <t>PRLV SEPA GENERALI IARD SA CONTRAT AS956370-25072025144030</t>
  </si>
  <si>
    <t>PRLV SEPA GENERALI IARD SA CONTRAT AU090717-25072025166494</t>
  </si>
  <si>
    <t>PRLV SEPA GENERALI IARD SA CONTRAT AU110495-25072025166494</t>
  </si>
  <si>
    <t>VIR ASP AGENCE COMPTABLE 1D0750000153040408-TEL---044252</t>
  </si>
  <si>
    <t>FRAIS PAIE CB OP 27,53 EUR HIR082521701839625</t>
  </si>
  <si>
    <t>PAIEMENT CB 0108 27,53 EUR ALIEXPRESS.COM CARTE 7904 HIR082521701839625</t>
  </si>
  <si>
    <t>FRAIS PAIE CB OP 43,35 EUR HIR082521701839624</t>
  </si>
  <si>
    <t>PAIEMENT CB 0108 43,35 EUR ALIEXPRESS.COM CARTE 7904 HIR082521701839624</t>
  </si>
  <si>
    <t>FRAIS PAIE CB OP 40,00 USD HIR082521701722744</t>
  </si>
  <si>
    <t>PAIEMENT CB 0408 40,00 USD CURSOR USAGE MID CARTE 7904 HIR082521701722744</t>
  </si>
  <si>
    <t>PAIEMENT CB 0408 92200 NEUILLY ALMA S.O.S MOTEU CARTE 7904 HIR082521607274746</t>
  </si>
  <si>
    <t>PAIEMENT CB 0508 CLICHY KEYYO CARTE 7904 HIR082521802594268</t>
  </si>
  <si>
    <t>FRAIS PAIE CB OP 10,00 USD HIR082522000177293</t>
  </si>
  <si>
    <t>PAIEMENT CB 0708 10,00 USD INFLIGHT INTERNE CARTE 7904 HIR082522000177293</t>
  </si>
  <si>
    <t>PAIEMENT PSC 0608 CANNES ET CANNES CARTE 7904 HIR082521902252628</t>
  </si>
  <si>
    <t>FACT SGT25005241333235 DONT TVA 1,10EUR</t>
  </si>
  <si>
    <t>PRLV SEPA SECTOR ALARM SAS-SECT SFR-00692120</t>
  </si>
  <si>
    <t>FRAIS PAIE CB OP 4,24 USD HIR082522300808620</t>
  </si>
  <si>
    <t>PAIEMENT CB 0808 4,24 USD CURSOR USAGE JU CARTE 7904 HIR082522300808620</t>
  </si>
  <si>
    <t>PRLV SEPA CEGEMA 20250812CEGEMA 001287834</t>
  </si>
  <si>
    <t>PRLV SEPA URSSAF PACA UR 937000002069458319 JUIL25</t>
  </si>
  <si>
    <t>VIR INST LA MAISON DU GEEK ENVOYE PAR SUMUP 5231054521092482</t>
  </si>
  <si>
    <t>PAIEMENT CB 1808 91940 LES ULI VOLT-CORP CARTE 7904 HIR082523007919247</t>
  </si>
  <si>
    <t>PRLV SEPA DGFIP TVA-082025-3310CA3</t>
  </si>
  <si>
    <t>PRLV SEPA ENGIE 300002356721-820005471847</t>
  </si>
  <si>
    <t>VIR ASP AGENCE COMPTABLE 1D0750000153724479-TEL---044252</t>
  </si>
  <si>
    <t>PRLV SEPA GENERALI IARD SA CONTRAT AS956370-27082025143833</t>
  </si>
  <si>
    <t>PRLV SEPA GENERALI IARD SA CONTRAT AU090717-27082025166354</t>
  </si>
  <si>
    <t>PRLV SEPA GENERALI IARD SA CONTRAT AU110495-27082025166355</t>
  </si>
  <si>
    <t>PAIEMENT CB 0409 CLICHY KEYYO CARTE 7904 HIR082524802257413</t>
  </si>
  <si>
    <t>PAIEMENT CB 0809 SOULEUVRE EN WATTIZ FR CARTE 7904 HIR082525200578947</t>
  </si>
  <si>
    <t>PAIEMENT CB 0809 LA BUISSE MOBYGUM CARTE 7904 HIR082525200629039</t>
  </si>
  <si>
    <t>FACT SGT25005241519768 DONT TVA 1,10EUR</t>
  </si>
  <si>
    <t>PRLV SEPA SECTOR ALARM SAS-SECT SFR-00771798</t>
  </si>
  <si>
    <t>PAIEMENT CB 1009 SOULEUVRE EN WATTIZ FR CARTE 7904 HIR082525400472642</t>
  </si>
  <si>
    <t>PRLV SEPA CEGEMA 20250912CEGEMA 001423256</t>
  </si>
  <si>
    <t>VIR INST LA MAISON DU GEEK ENVOYE PAR SUMUP 5258114831982370</t>
  </si>
  <si>
    <t>VIR INST PATINETTE FAC400MERLIN MAY 5258185343237090</t>
  </si>
  <si>
    <t>PRLV SEPA URSSAF PACA UR 937000002069458319 AOUT25</t>
  </si>
  <si>
    <t>VIR INST LA MAISON DU GEEK ENVOYE PAR SUMUP 5268135927983196</t>
  </si>
  <si>
    <t>PAIEMENT PSC 2509 PARIS FREE MOBILE CARTE 7904 HIR082526900565649</t>
  </si>
  <si>
    <t>PAIEMENT PSC 2509 PARIS FREE MOBILE CARTE 7904 HIR082526900565648</t>
  </si>
  <si>
    <t>PAIEMENT PSC 2509 PARIS FREE MOBILE CARTE 7904 HIR082526900565629</t>
  </si>
  <si>
    <t>PAIEMENT CB 2609 PAYLI2090401/ AMAZON EU SARL CARTE 1354 HIR082527201515938</t>
  </si>
  <si>
    <t>PAIEMENT CB 3009 91940 LES ULI VOLT-CORP CARTE 7904 HIR082527400577674</t>
  </si>
  <si>
    <t>VIR INST LA MAISON DU GEEK ENVOYE PAR SUMUP 5274185529922251</t>
  </si>
  <si>
    <t>VIR INST LA MAISON DU GEEK ENVOYE PAR SUMUP 5278143150152500</t>
  </si>
  <si>
    <t>PRLV SEPA ENGIE 300002356721-820000592546</t>
  </si>
  <si>
    <t>PRLV SEPA GENERALI IARD SA CONTRAT AS956370-24092025145252</t>
  </si>
  <si>
    <t>PRLV SEPA GENERALI IARD SA CONTRAT AU090717-24092025167880</t>
  </si>
  <si>
    <t>PRLV SEPA GENERALI IARD SA CONTRAT AU110495-24092025167880</t>
  </si>
  <si>
    <t>PAIEMENT CB 0410 CLICHY KEYYO CARTE 7904 HIR082527903678333</t>
  </si>
  <si>
    <t>PAIEMENT CB 0710 IVRY SUR SEIN JMA CARTE 7904 HIR082528100572352</t>
  </si>
  <si>
    <t>PRLV SEPA SECTOR ALARM SAS-SECT SFR-00860385</t>
  </si>
  <si>
    <t>FACT SGT25005241706364 DONT TVA 1,10EUR</t>
  </si>
  <si>
    <t>VIR INST LA MAISON DU GEEK ENVOYE PAR SUMUP 5283190024186339</t>
  </si>
  <si>
    <t>VIR INST LA MAISON DU GEEK ENVOYE PAR SUMUP 5284195629138180</t>
  </si>
  <si>
    <t>VIR INST LA MAISON DU GEEK ENVOYE PAR SUMUP 5285204752712993</t>
  </si>
  <si>
    <t>PRLV SEPA CEGEMA 20251012CEGEMA 001561610</t>
  </si>
  <si>
    <t>PRLV SEPA AMAZON PAYMENTS EUROP P02-8119422-1632859 AMZN.COM/PM</t>
  </si>
  <si>
    <t>PRLV SEPA URSSAF PACA UR 937000002069458319 SEPT25</t>
  </si>
  <si>
    <t>PAIEMENT CB 1510 SOULEUVRE EN WATTIZ FR CARTE 7904 HIR082528900383520</t>
  </si>
  <si>
    <t>PAIEMENT CB 1410 LYON MOBILAX CARTE 7904 HIR082528802001044</t>
  </si>
  <si>
    <t>PAIEMENT CB 1510 PARIS UTOPIA CARTE 7904 HIR082528902383054</t>
  </si>
  <si>
    <t>VIR INST LA MAISON DU GEEK ENVOYE PAR SUMUP 5292142155640609</t>
  </si>
  <si>
    <t>PAIEMENT CB 2210 SOULEUVRE EN WATTIZ FR CARTE 7904 HIR082529600598727</t>
  </si>
  <si>
    <t>PAIEMENT CB 2110 LYON MOBILAX CARTE 7904 HIR082529502170913</t>
  </si>
  <si>
    <t>VIR INST LA MAISON DU GEEK ENVOYE PAR SUMUP 5297194258724686</t>
  </si>
  <si>
    <t>FRAIS PAIE CB OP 20,80 USD HIR082530001245037</t>
  </si>
  <si>
    <t>PAIEMENT CB 2610 20,80 USD CURSOR USAGE MID CARTE 7904 HIR082530001245037</t>
  </si>
  <si>
    <t>PAIEMENT CB 2510 LIER SP ULTRA MASTERM CARTE 7904 HIR082530001215843</t>
  </si>
  <si>
    <t>FRAIS PAIE CB OP 20,00 USD HIR082530001044394</t>
  </si>
  <si>
    <t>PAIEMENT CB 2410 20,00 USD CURSOR, AI POWER CARTE 7904 HIR082530001044394</t>
  </si>
  <si>
    <t>FRAIS PAIE CB OP 40,45 USD HIR082530006438527</t>
  </si>
  <si>
    <t>PAIEMENT CB 2610 40,45 USD CURSOR USAGE MID CARTE 7904 HIR082530006438527</t>
  </si>
  <si>
    <t>BLOCAGE SAISIE ADM TIERS DET REF 100126253694890448780 14 05899858</t>
  </si>
  <si>
    <t>FRAIS PAIE CB OP 60,31 USD HIR082530100099609</t>
  </si>
  <si>
    <t>PAIEMENT CB 2710 60,31 USD CURSOR USAGE MID CARTE 7904 HIR082530100099609</t>
  </si>
  <si>
    <t>VIR INST LA MAISON DU GEEK ENVOYE PAR SUMUP 5303134434476683</t>
  </si>
  <si>
    <t>FRAIS PAIE CB OP 53,56 USD HIR082530300096739</t>
  </si>
  <si>
    <t>PAIEMENT CB 2910 53,56 USD CURSOR USAGE OC CARTE 7904 HIR082530300096739</t>
  </si>
  <si>
    <t>PAIEMENT CB 2910 91940 LES ULI VOLT-CORP CARTE 7904 HIR082530202961862</t>
  </si>
  <si>
    <t>PAIEMENT CB 2910 PARIS UTOPIA CARTE 7904 HIR082530302431442</t>
  </si>
  <si>
    <t>VIR INST LA MAISON DU GEEK ENVOYE PAR SUMUP 5305131618598367</t>
  </si>
  <si>
    <t xml:space="preserve">Solde au 02/11/2025 : </t>
  </si>
  <si>
    <t>Nombre de compte</t>
  </si>
  <si>
    <t>1</t>
  </si>
  <si>
    <t>Nom du compte</t>
  </si>
  <si>
    <t xml:space="preserve">Range </t>
  </si>
  <si>
    <t>Type</t>
  </si>
  <si>
    <t>Cpt 18404 00036528501</t>
  </si>
  <si>
    <t>A6:E536</t>
  </si>
  <si>
    <t>cpt</t>
  </si>
  <si>
    <t>Account_list_template</t>
  </si>
  <si>
    <t>cb_template</t>
  </si>
  <si>
    <t>cpt_template</t>
  </si>
  <si>
    <t>cpt_template_1col</t>
  </si>
  <si>
    <t>4</t>
  </si>
  <si>
    <t>Cpt 37116 00010269805</t>
  </si>
  <si>
    <t>A6:E5</t>
  </si>
  <si>
    <t>Cpt 37116 00010269802</t>
  </si>
  <si>
    <t>A6:E23</t>
  </si>
  <si>
    <t>CB 37116 00010269802 # 052021</t>
  </si>
  <si>
    <t>A7:C7</t>
  </si>
  <si>
    <t>cb</t>
  </si>
  <si>
    <t>CB 37116 00010269802 # 042021</t>
  </si>
  <si>
    <t>A7:C30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</si>
</sst>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3">
    <font>
      <sz val="11"/>
      <color theme="1" tint="0"/>
      <name val="Calibri"/>
      <family val="2"/>
      <scheme val="minor"/>
    </font>
    <font>
      <b/>
      <sz val="11"/>
      <color theme="1" tint="0"/>
      <name val="Calibri"/>
      <family val="2"/>
      <scheme val="minor"/>
    </font>
    <font>
      <sz val="10"/>
      <color rgb="FF262626" tint="0"/>
      <name val="Verdana"/>
      <family val="2"/>
    </font>
    <font>
      <u/>
      <sz val="10"/>
      <color rgb="FF4170A9" tint="0"/>
      <name val="Verdana"/>
      <family val="2"/>
    </font>
    <font>
      <b/>
      <sz val="10"/>
      <color rgb="FF262626" tint="0"/>
      <name val="Verdana"/>
      <family val="2"/>
    </font>
    <font>
      <b/>
      <sz val="10"/>
      <color rgb="FFFFFFFF" tint="0"/>
      <name val="Verdana"/>
      <family val="2"/>
    </font>
    <font>
      <b/>
      <i/>
      <sz val="10"/>
      <color rgb="FF262626" tint="0"/>
      <name val="Verdana"/>
      <family val="2"/>
    </font>
    <font>
      <b/>
      <sz val="11"/>
      <color theme="1" tint="0"/>
      <name val="Verdana"/>
      <family val="2"/>
    </font>
    <font>
      <b/>
      <sz val="10"/>
      <color theme="1" tint="0"/>
      <name val="Verdana"/>
      <family val="2"/>
    </font>
    <font>
      <sz val="10"/>
      <color theme="1" tint="0"/>
      <name val="Verdana"/>
      <family val="2"/>
    </font>
    <font>
      <sz val="10"/>
      <color theme="1" tint="0"/>
      <name val="Calibri"/>
      <family val="2"/>
      <scheme val="minor"/>
    </font>
    <font>
      <sz val="11"/>
      <color theme="1" tint="0"/>
      <name val="Verdana"/>
      <family val="2"/>
    </font>
    <font>
      <b/>
      <i/>
      <sz val="10"/>
      <color theme="1" tint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4173A9" tint="0"/>
      </patternFill>
    </fill>
    <fill>
      <patternFill patternType="solid">
        <fgColor rgb="FFD5E1EF" tint="0"/>
      </patternFill>
    </fill>
    <fill>
      <patternFill patternType="solid">
        <fgColor theme="4" tint="0.39997558519241921"/>
        <bgColor indexed="64" tint="0"/>
      </patternFill>
    </fill>
    <fill>
      <patternFill patternType="solid">
        <fgColor theme="4" tint="0.79998168889431442"/>
        <bgColor indexed="64" tint="0"/>
      </patternFill>
    </fill>
  </fills>
  <borders count="15">
    <border>
      <left/>
      <right/>
      <top/>
      <bottom/>
      <diagonal/>
    </border>
    <border>
      <left/>
      <right style="thin">
        <color rgb="FF666666" tint="0"/>
      </right>
      <top style="thin">
        <color rgb="FF666666" tint="0"/>
      </top>
      <bottom style="thin">
        <color rgb="FF666666" tint="0"/>
      </bottom>
      <diagonal/>
    </border>
    <border>
      <left style="thin">
        <color rgb="FF666666" tint="0"/>
      </left>
      <right style="thin">
        <color rgb="FF666666" tint="0"/>
      </right>
      <top style="thin">
        <color rgb="FF666666" tint="0"/>
      </top>
      <bottom style="thin">
        <color rgb="FF666666" tint="0"/>
      </bottom>
      <diagonal/>
    </border>
    <border>
      <left/>
      <right/>
      <top style="thin">
        <color rgb="FF666666" tint="0"/>
      </top>
      <bottom style="thin">
        <color rgb="FF666666" tint="0"/>
      </bottom>
      <diagonal/>
    </border>
    <border>
      <left style="thin">
        <color indexed="64" tint="0"/>
      </left>
      <right style="thin">
        <color indexed="64" tint="0"/>
      </right>
      <top/>
      <bottom/>
      <diagonal/>
    </border>
    <border>
      <left style="thin">
        <color indexed="64" tint="0"/>
      </left>
      <right style="thin">
        <color indexed="64" tint="0"/>
      </right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  <border>
      <left/>
      <right style="thin">
        <color indexed="64" tint="0"/>
      </right>
      <top/>
      <bottom/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/>
      <diagonal/>
    </border>
    <border>
      <left style="thin">
        <color rgb="FF666666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/>
      <top/>
      <bottom style="thin">
        <color rgb="FF666666" tint="0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0" fontId="5" fillId="2" borderId="2">
      <alignment horizontal="center"/>
    </xf>
  </cellStyleXfs>
  <cellXfs count="78">
    <xf numFmtId="0" fontId="0" fillId="0" borderId="0" xfId="0"/>
    <xf numFmtId="0" fontId="1" fillId="0" borderId="0" xfId="0"/>
    <xf numFmtId="0" fontId="5" fillId="2" borderId="2" xfId="4">
      <alignment horizontal="center" vertical="center"/>
    </xf>
    <xf numFmtId="0" fontId="2" fillId="0" borderId="0" xfId="0"/>
    <xf numFmtId="14" fontId="5" fillId="2" borderId="2" xfId="4">
      <alignment horizontal="center" vertical="center"/>
    </xf>
    <xf numFmtId="14" fontId="2" fillId="0" borderId="0" xfId="0"/>
    <xf numFmtId="0" fontId="5" fillId="2" borderId="2" xfId="4">
      <alignment horizontal="center"/>
    </xf>
    <xf numFmtId="0" fontId="9" fillId="0" borderId="0" xfId="0"/>
    <xf numFmtId="0" fontId="10" fillId="0" borderId="0" xfId="0"/>
    <xf numFmtId="0" fontId="0" fillId="0" borderId="0" xfId="0"/>
    <xf numFmtId="0" fontId="2" fillId="0" borderId="0" xfId="1"/>
    <xf numFmtId="14" fontId="2" fillId="3" borderId="7" xfId="0">
      <alignment vertical="center"/>
    </xf>
    <xf numFmtId="0" fontId="9" fillId="0" borderId="4" xfId="0">
      <alignment horizontal="left" vertical="center"/>
    </xf>
    <xf numFmtId="14" fontId="9" fillId="0" borderId="7" xfId="0">
      <alignment vertical="center"/>
    </xf>
    <xf numFmtId="14" fontId="9" fillId="0" borderId="6" xfId="0">
      <alignment vertical="center"/>
    </xf>
    <xf numFmtId="14" fontId="2" fillId="3" borderId="4" xfId="0">
      <alignment vertical="center"/>
    </xf>
    <xf numFmtId="14" fontId="9" fillId="0" borderId="4" xfId="0">
      <alignment vertical="center"/>
    </xf>
    <xf numFmtId="14" fontId="9" fillId="0" borderId="5" xfId="0">
      <alignment vertical="center"/>
    </xf>
    <xf numFmtId="2" fontId="9" fillId="0" borderId="4" xfId="0">
      <alignment horizontal="right" vertical="center"/>
    </xf>
    <xf numFmtId="2" fontId="2" fillId="3" borderId="4" xfId="0">
      <alignment horizontal="right" vertical="center"/>
    </xf>
    <xf numFmtId="2" fontId="9" fillId="0" borderId="5" xfId="0">
      <alignment horizontal="right" vertical="center"/>
    </xf>
    <xf numFmtId="2" fontId="2" fillId="3" borderId="4" xfId="0">
      <alignment horizontal="right" vertical="center" wrapText="1"/>
    </xf>
    <xf numFmtId="2" fontId="2" fillId="3" borderId="1" xfId="0">
      <alignment vertical="center"/>
    </xf>
    <xf numFmtId="14" fontId="2" fillId="3" borderId="6" xfId="0">
      <alignment vertical="center"/>
    </xf>
    <xf numFmtId="2" fontId="2" fillId="3" borderId="5" xfId="0">
      <alignment horizontal="right" vertical="center" wrapText="1"/>
    </xf>
    <xf numFmtId="14" fontId="2" fillId="3" borderId="5" xfId="0">
      <alignment vertical="center"/>
    </xf>
    <xf numFmtId="2" fontId="2" fillId="3" borderId="5" xfId="0">
      <alignment horizontal="right" vertical="center"/>
    </xf>
    <xf numFmtId="0" fontId="3" fillId="0" borderId="4" xfId="2">
      <alignment vertical="center"/>
    </xf>
    <xf numFmtId="0" fontId="3" fillId="0" borderId="5" xfId="2">
      <alignment vertical="center"/>
    </xf>
    <xf numFmtId="0" fontId="9" fillId="0" borderId="5" xfId="0">
      <alignment vertical="center"/>
    </xf>
    <xf numFmtId="0" fontId="9" fillId="0" borderId="4" xfId="0">
      <alignment vertical="center"/>
    </xf>
    <xf numFmtId="2" fontId="9" fillId="0" borderId="4" xfId="0">
      <alignment vertical="center"/>
    </xf>
    <xf numFmtId="2" fontId="9" fillId="0" borderId="5" xfId="0">
      <alignment vertical="center"/>
    </xf>
    <xf numFmtId="0" fontId="11" fillId="0" borderId="0" xfId="0"/>
    <xf numFmtId="0" fontId="9" fillId="0" borderId="12" xfId="0"/>
    <xf numFmtId="0" fontId="9" fillId="0" borderId="0" xfId="0"/>
    <xf numFmtId="0" fontId="9" fillId="0" borderId="13" xfId="0">
      <alignment horizontal="left"/>
    </xf>
    <xf numFmtId="0" fontId="9" fillId="0" borderId="0" xfId="0">
      <alignment horizontal="left"/>
    </xf>
    <xf numFmtId="0" fontId="9" fillId="5" borderId="11" xfId="0">
      <alignment horizontal="left"/>
    </xf>
    <xf numFmtId="2" fontId="9" fillId="0" borderId="4" xfId="0">
      <alignment horizontal="left" vertical="center"/>
    </xf>
    <xf numFmtId="2" fontId="2" fillId="3" borderId="4" xfId="0">
      <alignment horizontal="left" vertical="center" wrapText="1"/>
    </xf>
    <xf numFmtId="2" fontId="9" fillId="0" borderId="5" xfId="0">
      <alignment horizontal="left" vertical="center"/>
    </xf>
    <xf numFmtId="0" fontId="9" fillId="0" borderId="12" xfId="0">
      <alignment horizontal="left"/>
    </xf>
    <xf numFmtId="2" fontId="2" fillId="3" borderId="5" xfId="0">
      <alignment horizontal="left" vertical="center" wrapText="1"/>
    </xf>
    <xf numFmtId="0" fontId="9" fillId="0" borderId="4" xfId="0"/>
    <xf numFmtId="0" fontId="2" fillId="3" borderId="4" xfId="0"/>
    <xf numFmtId="0" fontId="9" fillId="0" borderId="5" xfId="0"/>
    <xf numFmtId="0" fontId="9" fillId="0" borderId="12" xfId="0"/>
    <xf numFmtId="0" fontId="2" fillId="3" borderId="5" xfId="0"/>
    <xf numFmtId="0" fontId="9" fillId="0" borderId="10" xfId="0"/>
    <xf numFmtId="0" fontId="9" fillId="0" borderId="0" xfId="0"/>
    <xf numFmtId="2" fontId="9" fillId="0" borderId="10" xfId="0">
      <alignment vertical="center"/>
    </xf>
    <xf numFmtId="0" fontId="9" fillId="0" borderId="7" xfId="0"/>
    <xf numFmtId="0" fontId="9" fillId="0" borderId="7" xfId="0">
      <alignment horizontal="left" vertical="center"/>
    </xf>
    <xf numFmtId="2" fontId="9" fillId="0" borderId="7" xfId="0"/>
    <xf numFmtId="0" fontId="5" fillId="2" borderId="2" xfId="4">
      <alignment horizontal="center" vertical="center" wrapText="1"/>
    </xf>
    <xf numFmtId="0" fontId="2" fillId="0" borderId="0" xfId="0">
      <alignment wrapText="1"/>
    </xf>
    <xf numFmtId="0" fontId="9" fillId="0" borderId="4" xfId="0">
      <alignment horizontal="left" vertical="center" wrapText="1"/>
    </xf>
    <xf numFmtId="14" fontId="2" fillId="3" borderId="4" xfId="0">
      <alignment horizontal="left" vertical="center" wrapText="1"/>
    </xf>
    <xf numFmtId="0" fontId="9" fillId="0" borderId="5" xfId="0">
      <alignment horizontal="left" vertical="center" wrapText="1"/>
    </xf>
    <xf numFmtId="0" fontId="9" fillId="0" borderId="12" xfId="0">
      <alignment wrapText="1"/>
    </xf>
    <xf numFmtId="14" fontId="2" fillId="3" borderId="5" xfId="0">
      <alignment horizontal="left" vertical="center" wrapText="1"/>
    </xf>
    <xf numFmtId="0" fontId="2" fillId="3" borderId="7" xfId="0">
      <alignment horizontal="left" vertical="center" wrapText="1"/>
    </xf>
    <xf numFmtId="0" fontId="2" fillId="3" borderId="6" xfId="0">
      <alignment horizontal="left" vertical="center" wrapText="1"/>
    </xf>
    <xf numFmtId="0" fontId="9" fillId="0" borderId="0" xfId="0">
      <alignment wrapText="1"/>
    </xf>
    <xf numFmtId="14" fontId="9" fillId="0" borderId="4" xfId="0">
      <alignment vertical="center" wrapText="1"/>
    </xf>
    <xf numFmtId="0" fontId="2" fillId="3" borderId="4" xfId="0">
      <alignment horizontal="left" vertical="center" wrapText="1"/>
    </xf>
    <xf numFmtId="0" fontId="2" fillId="3" borderId="5" xfId="0">
      <alignment horizontal="left" vertical="center" wrapText="1"/>
    </xf>
    <xf numFmtId="0" fontId="9" fillId="0" borderId="0" xfId="0">
      <alignment horizontal="center"/>
    </xf>
    <xf numFmtId="0" fontId="12" fillId="4" borderId="9" xfId="0">
      <alignment horizontal="center"/>
    </xf>
    <xf numFmtId="0" fontId="12" fillId="4" borderId="8" xfId="0">
      <alignment horizontal="center"/>
    </xf>
    <xf numFmtId="0" fontId="8" fillId="0" borderId="0" xfId="0">
      <alignment horizontal="left"/>
    </xf>
    <xf numFmtId="0" fontId="7" fillId="0" borderId="0" xfId="0">
      <alignment horizontal="left"/>
    </xf>
    <xf numFmtId="0" fontId="3" fillId="0" borderId="14" xfId="2">
      <alignment horizontal="right" vertical="center"/>
    </xf>
    <xf numFmtId="0" fontId="4" fillId="0" borderId="0" xfId="3">
      <alignment vertical="center"/>
    </xf>
    <xf numFmtId="0" fontId="2" fillId="0" borderId="0" xfId="0">
      <alignment vertical="center"/>
    </xf>
    <xf numFmtId="0" fontId="2" fillId="3" borderId="3" xfId="0">
      <alignment vertical="center"/>
    </xf>
    <xf numFmtId="0" fontId="6" fillId="3" borderId="3" xfId="0">
      <alignment horizontal="right" vertical="center"/>
    </xf>
  </cellXfs>
  <cellStyles count="5">
    <cellStyle name="Global" xfId="1"/>
    <cellStyle name="Header" xfId="3"/>
    <cellStyle name="HyperLink" xfId="2"/>
    <cellStyle name="Normal" xfId="0" builtinId="0"/>
    <cellStyle name="TableHeader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theme" Target="theme/theme1.xml" Id="rId7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9" /><Relationship Type="http://schemas.openxmlformats.org/officeDocument/2006/relationships/worksheet" Target="worksheets/sheet16.xml" Id="Ref1087e74c6a426b" /><Relationship Type="http://schemas.openxmlformats.org/officeDocument/2006/relationships/worksheet" Target="worksheets/sheet17.xml" Id="R8e9b05195a8446cb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J40"/>
  <sheetViews>
    <sheetView tabSelected="1" topLeftCell="A4" zoomScaleNormal="100" workbookViewId="0"/>
  </sheetViews>
  <sheetFormatPr baseColWidth="10" defaultRowHeight="15" x14ac:dyDescent="0.25"/>
  <cols>
    <col min="1" max="1" width="31.5703125" customWidth="1"/>
    <col min="7" max="7" width="11.42578125" customWidth="1"/>
  </cols>
  <sheetData>
    <row r="1">
      <c r="A1" s="1" t="s">
        <v>487</v>
      </c>
    </row>
    <row r="2">
      <c r="A2" s="0" t="s">
        <v>488</v>
      </c>
    </row>
    <row r="3">
      <c r="A3" s="1" t="s">
        <v>489</v>
      </c>
      <c r="B3" s="1" t="s">
        <v>490</v>
      </c>
      <c r="C3" s="1" t="s">
        <v>491</v>
      </c>
    </row>
    <row r="4">
      <c r="A4" s="0" t="s">
        <v>492</v>
      </c>
      <c r="B4" s="0" t="s">
        <v>493</v>
      </c>
      <c r="C4" s="0" t="s">
        <v>494</v>
      </c>
    </row>
    <row r="7">
      <c r="A7" s="33"/>
      <c r="B7" s="33"/>
      <c r="C7" s="33"/>
      <c r="D7" s="33"/>
      <c r="E7" s="33"/>
      <c r="F7" s="33"/>
      <c r="G7" s="33"/>
      <c r="H7" s="33"/>
      <c r="I7" s="33"/>
    </row>
    <row r="8">
      <c r="A8" s="33"/>
      <c r="B8" s="33"/>
      <c r="C8" s="33"/>
      <c r="D8" s="33"/>
      <c r="E8" s="33"/>
      <c r="F8" s="33"/>
      <c r="G8" s="33"/>
      <c r="H8" s="33"/>
      <c r="I8" s="33"/>
    </row>
    <row r="9">
      <c r="A9" s="7"/>
      <c r="B9" s="7"/>
      <c r="C9" s="7"/>
      <c r="D9" s="7"/>
      <c r="E9" s="7"/>
      <c r="F9" s="7"/>
      <c r="G9" s="7"/>
      <c r="H9" s="7"/>
      <c r="I9" s="7"/>
      <c r="J9" s="8"/>
    </row>
    <row r="10">
      <c r="A10" s="52"/>
      <c r="B10" s="52"/>
      <c r="C10" s="54"/>
      <c r="D10" s="53"/>
      <c r="E10" s="7"/>
      <c r="F10" s="7"/>
      <c r="G10" s="7"/>
      <c r="H10" s="7"/>
      <c r="I10" s="7"/>
      <c r="J10" s="8"/>
    </row>
    <row r="11">
      <c r="A11" s="68" t="s">
        <v>495</v>
      </c>
      <c r="B11" s="68"/>
      <c r="C11" s="68"/>
      <c r="D11" s="68"/>
      <c r="E11" s="7"/>
      <c r="F11" s="35"/>
      <c r="G11" s="7"/>
      <c r="H11" s="7"/>
      <c r="I11" s="7"/>
      <c r="J11" s="8"/>
    </row>
    <row r="12">
      <c r="A12" s="27"/>
      <c r="B12" s="30"/>
      <c r="C12" s="31"/>
      <c r="D12" s="30"/>
      <c r="E12" s="7"/>
      <c r="F12" s="7"/>
      <c r="G12" s="7"/>
      <c r="H12" s="7"/>
      <c r="I12" s="7"/>
      <c r="J12" s="8"/>
    </row>
    <row r="13">
      <c r="A13" s="29"/>
      <c r="B13" s="29"/>
      <c r="C13" s="32"/>
      <c r="D13" s="29"/>
      <c r="E13" s="7"/>
      <c r="F13" s="7"/>
      <c r="G13" s="7"/>
      <c r="H13" s="7"/>
      <c r="I13" s="7"/>
      <c r="J13" s="8"/>
    </row>
    <row r="14">
      <c r="A14" s="7"/>
      <c r="B14" s="34"/>
      <c r="C14" s="34"/>
      <c r="D14" s="47"/>
      <c r="E14" s="7"/>
      <c r="F14" s="7"/>
      <c r="G14" s="7"/>
      <c r="H14" s="7"/>
      <c r="I14" s="7"/>
      <c r="J14" s="8"/>
    </row>
    <row r="15">
      <c r="A15" s="28"/>
      <c r="B15" s="29"/>
      <c r="C15" s="32"/>
      <c r="D15" s="29"/>
      <c r="E15" s="7"/>
      <c r="F15" s="7"/>
      <c r="G15" s="7"/>
      <c r="H15" s="7"/>
      <c r="I15" s="7"/>
      <c r="J15" s="8"/>
    </row>
    <row r="16">
      <c r="A16" s="68" t="s">
        <v>496</v>
      </c>
      <c r="B16" s="68"/>
      <c r="C16" s="68"/>
      <c r="D16" s="68"/>
      <c r="E16" s="7"/>
      <c r="F16" s="7"/>
      <c r="G16" s="7"/>
      <c r="H16" s="7"/>
      <c r="I16" s="7"/>
      <c r="J16" s="8"/>
    </row>
    <row r="17">
      <c r="A17" s="13"/>
      <c r="B17" s="57"/>
      <c r="C17" s="18"/>
      <c r="D17" s="39"/>
      <c r="E17" s="7"/>
      <c r="F17" s="7"/>
      <c r="G17" s="7"/>
      <c r="H17" s="7"/>
      <c r="I17" s="7"/>
      <c r="J17" s="8"/>
    </row>
    <row r="18">
      <c r="A18" s="11"/>
      <c r="B18" s="62"/>
      <c r="C18" s="21"/>
      <c r="D18" s="40"/>
      <c r="E18" s="7"/>
      <c r="F18" s="7"/>
      <c r="G18" s="7"/>
      <c r="H18" s="7"/>
      <c r="I18" s="7"/>
      <c r="J18" s="8"/>
    </row>
    <row r="19">
      <c r="A19" s="14"/>
      <c r="B19" s="59"/>
      <c r="C19" s="20"/>
      <c r="D19" s="41"/>
      <c r="E19" s="7"/>
      <c r="F19" s="7"/>
      <c r="G19" s="7"/>
      <c r="H19" s="7"/>
      <c r="I19" s="7"/>
      <c r="J19" s="8"/>
    </row>
    <row r="20">
      <c r="A20" s="7"/>
      <c r="B20" s="60"/>
      <c r="C20" s="34"/>
      <c r="D20" s="42"/>
      <c r="E20" s="7"/>
      <c r="F20" s="7"/>
      <c r="G20" s="7"/>
      <c r="H20" s="7"/>
      <c r="I20" s="7"/>
      <c r="J20" s="8"/>
    </row>
    <row r="21">
      <c r="A21" s="23"/>
      <c r="B21" s="63"/>
      <c r="C21" s="24"/>
      <c r="D21" s="43"/>
      <c r="E21" s="7"/>
      <c r="F21" s="7"/>
      <c r="G21" s="7"/>
      <c r="H21" s="7"/>
      <c r="I21" s="7"/>
      <c r="J21" s="8"/>
    </row>
    <row r="22">
      <c r="A22" s="69"/>
      <c r="B22" s="69"/>
      <c r="C22" s="69"/>
      <c r="D22" s="70"/>
      <c r="E22" s="7"/>
      <c r="F22" s="7"/>
      <c r="G22" s="7"/>
      <c r="H22" s="7"/>
      <c r="I22" s="7"/>
      <c r="J22" s="8"/>
    </row>
    <row r="23">
      <c r="A23" s="68" t="s">
        <v>497</v>
      </c>
      <c r="B23" s="68"/>
      <c r="C23" s="68"/>
      <c r="D23" s="68"/>
      <c r="E23" s="7"/>
      <c r="F23" s="7"/>
      <c r="G23" s="7"/>
      <c r="H23" s="7"/>
      <c r="I23" s="7"/>
      <c r="J23" s="8"/>
    </row>
    <row r="24">
      <c r="A24" s="13"/>
      <c r="B24" s="16"/>
      <c r="C24" s="57"/>
      <c r="D24" s="18"/>
      <c r="E24" s="18"/>
      <c r="F24" s="18"/>
      <c r="G24" s="44"/>
      <c r="H24" s="7"/>
      <c r="I24" s="7"/>
      <c r="J24" s="8"/>
    </row>
    <row r="25">
      <c r="A25" s="11"/>
      <c r="B25" s="15"/>
      <c r="C25" s="66"/>
      <c r="D25" s="19"/>
      <c r="E25" s="19"/>
      <c r="F25" s="19"/>
      <c r="G25" s="45"/>
      <c r="H25" s="7"/>
      <c r="I25" s="7"/>
      <c r="J25" s="8"/>
    </row>
    <row r="26">
      <c r="A26" s="14"/>
      <c r="B26" s="17"/>
      <c r="C26" s="59"/>
      <c r="D26" s="20"/>
      <c r="E26" s="20"/>
      <c r="F26" s="20"/>
      <c r="G26" s="46"/>
      <c r="H26" s="7"/>
      <c r="I26" s="7"/>
      <c r="J26" s="8"/>
    </row>
    <row r="27">
      <c r="A27" s="34"/>
      <c r="B27" s="34"/>
      <c r="C27" s="60"/>
      <c r="D27" s="34"/>
      <c r="E27" s="34"/>
      <c r="F27" s="34"/>
      <c r="G27" s="47"/>
      <c r="H27" s="7"/>
      <c r="I27" s="7"/>
      <c r="J27" s="8"/>
    </row>
    <row r="28">
      <c r="A28" s="23"/>
      <c r="B28" s="25"/>
      <c r="C28" s="67"/>
      <c r="D28" s="26"/>
      <c r="E28" s="26"/>
      <c r="F28" s="26"/>
      <c r="G28" s="48"/>
      <c r="H28" s="7"/>
      <c r="I28" s="7"/>
      <c r="J28" s="8"/>
    </row>
    <row r="29">
      <c r="A29" s="13"/>
      <c r="B29" s="16"/>
      <c r="C29" s="57"/>
      <c r="D29" s="18"/>
      <c r="E29" s="18"/>
      <c r="F29" s="18"/>
      <c r="G29" s="49"/>
      <c r="H29" s="7"/>
      <c r="I29" s="7"/>
      <c r="J29" s="8"/>
    </row>
    <row r="30">
      <c r="A30" s="7"/>
      <c r="B30" s="7"/>
      <c r="C30" s="7"/>
      <c r="D30" s="7"/>
      <c r="E30" s="7"/>
      <c r="F30" s="7"/>
      <c r="G30" s="7"/>
      <c r="H30" s="7"/>
      <c r="I30" s="7"/>
      <c r="J30" s="8"/>
    </row>
    <row r="31" ht="15.75" customHeight="1">
      <c r="A31" s="68" t="s">
        <v>498</v>
      </c>
      <c r="B31" s="68"/>
      <c r="C31" s="68"/>
      <c r="D31" s="68"/>
      <c r="E31" s="7"/>
      <c r="F31" s="7"/>
      <c r="G31" s="7"/>
      <c r="H31" s="7"/>
      <c r="I31" s="7"/>
      <c r="J31" s="8"/>
    </row>
    <row r="32">
      <c r="A32" s="13"/>
      <c r="B32" s="57"/>
      <c r="C32" s="18"/>
      <c r="D32" s="18"/>
      <c r="E32" s="18"/>
      <c r="F32" s="44"/>
      <c r="G32" s="7"/>
      <c r="H32" s="7"/>
      <c r="I32" s="7"/>
      <c r="J32" s="8"/>
    </row>
    <row r="33">
      <c r="A33" s="11"/>
      <c r="B33" s="58"/>
      <c r="C33" s="19"/>
      <c r="D33" s="19"/>
      <c r="E33" s="19"/>
      <c r="F33" s="45"/>
      <c r="G33" s="7"/>
      <c r="H33" s="7"/>
      <c r="I33" s="7"/>
      <c r="J33" s="8"/>
    </row>
    <row r="34">
      <c r="A34" s="14"/>
      <c r="B34" s="59"/>
      <c r="C34" s="20"/>
      <c r="D34" s="20"/>
      <c r="E34" s="20"/>
      <c r="F34" s="46"/>
      <c r="G34" s="7"/>
      <c r="H34" s="7"/>
      <c r="I34" s="7"/>
      <c r="J34" s="8"/>
    </row>
    <row r="35">
      <c r="A35" s="7"/>
      <c r="B35" s="64"/>
      <c r="C35" s="34"/>
      <c r="D35" s="34"/>
      <c r="E35" s="7"/>
      <c r="F35" s="50"/>
      <c r="G35" s="7"/>
      <c r="H35" s="7"/>
      <c r="I35" s="7"/>
      <c r="J35" s="8"/>
    </row>
    <row r="36">
      <c r="A36" s="23"/>
      <c r="B36" s="61"/>
      <c r="C36" s="26"/>
      <c r="D36" s="26"/>
      <c r="E36" s="26"/>
      <c r="F36" s="48"/>
      <c r="G36" s="7"/>
      <c r="H36" s="7"/>
      <c r="I36" s="7"/>
      <c r="J36" s="8"/>
    </row>
    <row r="37">
      <c r="A37" s="13"/>
      <c r="B37" s="65"/>
      <c r="C37" s="12"/>
      <c r="D37" s="18"/>
      <c r="E37" s="18"/>
      <c r="F37" s="51"/>
      <c r="G37" s="36"/>
      <c r="H37" s="35"/>
      <c r="I37" s="7"/>
      <c r="J37" s="8"/>
    </row>
    <row r="38">
      <c r="A38" s="7"/>
      <c r="B38" s="7"/>
      <c r="C38" s="7"/>
      <c r="D38" s="7"/>
      <c r="E38" s="7"/>
      <c r="F38" s="7"/>
      <c r="G38" s="7"/>
      <c r="H38" s="7"/>
      <c r="I38" s="7"/>
      <c r="J38" s="8"/>
    </row>
    <row r="39">
      <c r="A39" s="7"/>
      <c r="B39" s="7"/>
      <c r="C39" s="7"/>
      <c r="D39" s="7"/>
      <c r="E39" s="7"/>
      <c r="F39" s="7"/>
      <c r="G39" s="7"/>
      <c r="H39" s="7"/>
      <c r="I39" s="7"/>
      <c r="J39" s="8"/>
    </row>
    <row r="40">
      <c r="A40" s="33"/>
      <c r="B40" s="33"/>
      <c r="C40" s="33"/>
      <c r="D40" s="33"/>
      <c r="E40" s="33"/>
      <c r="F40" s="33"/>
      <c r="G40" s="33"/>
      <c r="H40" s="33"/>
      <c r="I40" s="33"/>
    </row>
  </sheetData>
  <mergeCells>
    <mergeCell ref="A11:D11"/>
    <mergeCell ref="A31:D31"/>
    <mergeCell ref="A16:D16"/>
    <mergeCell ref="A23:D23"/>
    <mergeCell ref="A22:D2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workbookViewId="0">
      <selection sqref="A1:D1"/>
    </sheetView>
  </sheetViews>
  <sheetFormatPr baseColWidth="10" defaultColWidth="9.28515625" defaultRowHeight="15" x14ac:dyDescent="0.25"/>
  <cols>
    <col min="1" max="1" width="27.5703125" customWidth="1"/>
    <col min="2" max="2" width="23" customWidth="1"/>
    <col min="3" max="3" width="7.7109375" customWidth="1"/>
  </cols>
  <sheetData>
    <row r="1">
      <c r="A1" s="1" t="s">
        <v>487</v>
      </c>
    </row>
    <row r="2">
      <c r="A2" s="0" t="s">
        <v>499</v>
      </c>
    </row>
    <row r="3">
      <c r="A3" s="1" t="s">
        <v>489</v>
      </c>
      <c r="B3" s="1" t="s">
        <v>490</v>
      </c>
      <c r="C3" s="1" t="s">
        <v>491</v>
      </c>
    </row>
    <row r="4">
      <c r="A4" s="0" t="s">
        <v>500</v>
      </c>
      <c r="B4" s="0" t="s">
        <v>501</v>
      </c>
      <c r="C4" s="0" t="s">
        <v>494</v>
      </c>
    </row>
    <row r="5">
      <c r="A5" s="0" t="s">
        <v>502</v>
      </c>
      <c r="B5" s="0" t="s">
        <v>503</v>
      </c>
      <c r="C5" s="0" t="s">
        <v>494</v>
      </c>
    </row>
    <row r="6">
      <c r="A6" s="0" t="s">
        <v>504</v>
      </c>
      <c r="B6" s="0" t="s">
        <v>505</v>
      </c>
      <c r="C6" s="0" t="s">
        <v>506</v>
      </c>
    </row>
    <row r="7">
      <c r="A7" s="0" t="s">
        <v>507</v>
      </c>
      <c r="B7" s="0" t="s">
        <v>508</v>
      </c>
      <c r="C7" s="0" t="s">
        <v>506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E121"/>
  <sheetViews>
    <sheetView workbookViewId="0">
      <selection sqref="A1:D1"/>
    </sheetView>
  </sheetViews>
  <sheetFormatPr baseColWidth="10" defaultRowHeight="15" x14ac:dyDescent="0.25"/>
  <cols>
    <col min="1" max="1" width="82.7109375" customWidth="1"/>
    <col min="2" max="2" width="30.7109375" customWidth="1"/>
    <col min="3" max="3" width="18.7109375" customWidth="1"/>
    <col min="4" max="4" width="5.7109375" customWidth="1"/>
  </cols>
  <sheetData>
    <row r="1">
      <c r="A1" s="71" t="s">
        <v>0</v>
      </c>
      <c r="B1" s="72"/>
      <c r="C1" s="72"/>
      <c r="D1" s="72"/>
    </row>
    <row r="3">
      <c r="A3" s="6" t="s">
        <v>1</v>
      </c>
      <c r="B3" s="6" t="s">
        <v>2</v>
      </c>
      <c r="C3" s="6" t="s">
        <v>3</v>
      </c>
      <c r="D3" s="6" t="s">
        <v>4</v>
      </c>
    </row>
    <row r="4">
      <c r="A4" s="28" t="s">
        <v>5</v>
      </c>
      <c r="B4" s="29" t="s">
        <v>6</v>
      </c>
      <c r="C4" s="32">
        <v>5483.75</v>
      </c>
      <c r="D4" s="29" t="s">
        <v>7</v>
      </c>
      <c r="E4" s="9"/>
    </row>
    <row r="5">
      <c r="A5" s="10"/>
      <c r="B5" s="7"/>
      <c r="C5" s="7"/>
      <c r="D5" s="7"/>
    </row>
    <row r="6">
      <c r="A6" s="10"/>
      <c r="B6" s="7"/>
      <c r="C6" s="7"/>
      <c r="D6" s="7"/>
    </row>
    <row r="7">
      <c r="A7" s="10"/>
      <c r="B7" s="7"/>
      <c r="C7" s="7"/>
      <c r="D7" s="7"/>
    </row>
    <row r="8">
      <c r="A8" s="10"/>
      <c r="B8" s="7"/>
      <c r="C8" s="7"/>
      <c r="D8" s="7"/>
    </row>
    <row r="9">
      <c r="A9" s="10"/>
      <c r="B9" s="7"/>
      <c r="C9" s="7"/>
      <c r="D9" s="7"/>
    </row>
    <row r="10">
      <c r="A10" s="10"/>
      <c r="B10" s="7"/>
      <c r="C10" s="7"/>
      <c r="D10" s="7"/>
    </row>
    <row r="11">
      <c r="A11" s="10"/>
      <c r="B11" s="7"/>
      <c r="C11" s="7"/>
      <c r="D11" s="7"/>
    </row>
    <row r="12">
      <c r="A12" s="10"/>
      <c r="B12" s="7"/>
      <c r="C12" s="7"/>
      <c r="D12" s="7"/>
    </row>
    <row r="13">
      <c r="A13" s="10"/>
      <c r="B13" s="7"/>
      <c r="C13" s="7"/>
      <c r="D13" s="7"/>
    </row>
    <row r="14">
      <c r="A14" s="10"/>
      <c r="B14" s="7"/>
      <c r="C14" s="7"/>
      <c r="D14" s="7"/>
    </row>
    <row r="15">
      <c r="A15" s="10"/>
      <c r="B15" s="7"/>
      <c r="C15" s="7"/>
      <c r="D15" s="7"/>
    </row>
    <row r="16">
      <c r="A16" s="10"/>
      <c r="B16" s="7"/>
      <c r="C16" s="7"/>
      <c r="D16" s="7"/>
    </row>
    <row r="17">
      <c r="A17" s="10"/>
      <c r="B17" s="7"/>
      <c r="C17" s="7"/>
      <c r="D17" s="7"/>
    </row>
    <row r="18">
      <c r="A18" s="10"/>
      <c r="B18" s="7"/>
      <c r="C18" s="7"/>
      <c r="D18" s="7"/>
    </row>
    <row r="19">
      <c r="A19" s="10"/>
      <c r="B19" s="7"/>
      <c r="C19" s="7"/>
      <c r="D19" s="7"/>
    </row>
    <row r="20">
      <c r="A20" s="10"/>
      <c r="B20" s="7"/>
      <c r="C20" s="7"/>
      <c r="D20" s="7"/>
    </row>
    <row r="21">
      <c r="A21" s="10"/>
      <c r="B21" s="7"/>
      <c r="C21" s="7"/>
      <c r="D21" s="7"/>
    </row>
    <row r="22">
      <c r="A22" s="10"/>
      <c r="B22" s="7"/>
      <c r="C22" s="7"/>
      <c r="D22" s="7"/>
    </row>
    <row r="23">
      <c r="A23" s="10"/>
      <c r="B23" s="7"/>
      <c r="C23" s="7"/>
      <c r="D23" s="7"/>
    </row>
    <row r="24">
      <c r="A24" s="10"/>
      <c r="B24" s="7"/>
      <c r="C24" s="7"/>
      <c r="D24" s="7"/>
    </row>
    <row r="25">
      <c r="A25" s="10"/>
      <c r="B25" s="7"/>
      <c r="C25" s="7"/>
      <c r="D25" s="7"/>
    </row>
    <row r="26">
      <c r="A26" s="10"/>
      <c r="B26" s="7"/>
      <c r="C26" s="7"/>
      <c r="D26" s="7"/>
    </row>
    <row r="27">
      <c r="A27" s="10"/>
      <c r="B27" s="7"/>
      <c r="C27" s="7"/>
      <c r="D27" s="7"/>
    </row>
    <row r="28">
      <c r="A28" s="10"/>
      <c r="B28" s="7"/>
      <c r="C28" s="7"/>
      <c r="D28" s="7"/>
    </row>
    <row r="29">
      <c r="A29" s="10"/>
      <c r="B29" s="7"/>
      <c r="C29" s="7"/>
      <c r="D29" s="7"/>
    </row>
    <row r="30">
      <c r="A30" s="10"/>
      <c r="B30" s="7"/>
      <c r="C30" s="7"/>
      <c r="D30" s="7"/>
    </row>
    <row r="31">
      <c r="A31" s="10"/>
      <c r="B31" s="7"/>
      <c r="C31" s="7"/>
      <c r="D31" s="7"/>
    </row>
    <row r="32">
      <c r="A32" s="10"/>
      <c r="B32" s="7"/>
      <c r="C32" s="7"/>
      <c r="D32" s="7"/>
    </row>
    <row r="33">
      <c r="A33" s="10"/>
      <c r="B33" s="7"/>
      <c r="C33" s="7"/>
      <c r="D33" s="7"/>
    </row>
    <row r="34">
      <c r="A34" s="10"/>
      <c r="B34" s="7"/>
      <c r="C34" s="7"/>
      <c r="D34" s="7"/>
    </row>
    <row r="35">
      <c r="A35" s="10"/>
      <c r="B35" s="7"/>
      <c r="C35" s="7"/>
      <c r="D35" s="7"/>
    </row>
    <row r="36">
      <c r="A36" s="10"/>
      <c r="B36" s="7"/>
      <c r="C36" s="7"/>
      <c r="D36" s="7"/>
    </row>
    <row r="37">
      <c r="A37" s="10"/>
      <c r="B37" s="7"/>
      <c r="C37" s="7"/>
      <c r="D37" s="7"/>
    </row>
    <row r="38">
      <c r="A38" s="10"/>
      <c r="B38" s="7"/>
      <c r="C38" s="7"/>
      <c r="D38" s="7"/>
    </row>
    <row r="39">
      <c r="A39" s="10"/>
      <c r="B39" s="7"/>
      <c r="C39" s="7"/>
      <c r="D39" s="7"/>
    </row>
    <row r="40">
      <c r="A40" s="10"/>
      <c r="B40" s="7"/>
      <c r="C40" s="7"/>
      <c r="D40" s="7"/>
    </row>
    <row r="41">
      <c r="A41" s="10"/>
      <c r="B41" s="7"/>
      <c r="C41" s="7"/>
      <c r="D41" s="7"/>
    </row>
    <row r="42">
      <c r="A42" s="10"/>
      <c r="B42" s="7"/>
      <c r="C42" s="7"/>
      <c r="D42" s="7"/>
    </row>
    <row r="43">
      <c r="A43" s="10"/>
      <c r="B43" s="7"/>
      <c r="C43" s="7"/>
      <c r="D43" s="7"/>
    </row>
    <row r="44">
      <c r="A44" s="10"/>
      <c r="B44" s="7"/>
      <c r="C44" s="7"/>
      <c r="D44" s="7"/>
    </row>
    <row r="45">
      <c r="A45" s="10"/>
      <c r="B45" s="7"/>
      <c r="C45" s="7"/>
      <c r="D45" s="7"/>
    </row>
    <row r="46">
      <c r="A46" s="10"/>
      <c r="B46" s="7"/>
      <c r="C46" s="7"/>
      <c r="D46" s="7"/>
    </row>
    <row r="47">
      <c r="A47" s="10"/>
      <c r="B47" s="7"/>
      <c r="C47" s="7"/>
      <c r="D47" s="7"/>
    </row>
    <row r="48">
      <c r="A48" s="10"/>
      <c r="B48" s="7"/>
      <c r="C48" s="7"/>
      <c r="D48" s="7"/>
    </row>
    <row r="49">
      <c r="A49" s="10"/>
      <c r="B49" s="7"/>
      <c r="C49" s="7"/>
      <c r="D49" s="7"/>
    </row>
    <row r="50">
      <c r="A50" s="10"/>
      <c r="B50" s="7"/>
      <c r="C50" s="7"/>
      <c r="D50" s="7"/>
    </row>
    <row r="51">
      <c r="A51" s="10"/>
      <c r="B51" s="7"/>
      <c r="C51" s="7"/>
      <c r="D51" s="7"/>
    </row>
    <row r="52">
      <c r="A52" s="10"/>
      <c r="B52" s="7"/>
      <c r="C52" s="7"/>
      <c r="D52" s="7"/>
    </row>
    <row r="53">
      <c r="A53" s="10"/>
      <c r="B53" s="7"/>
      <c r="C53" s="7"/>
      <c r="D53" s="7"/>
    </row>
    <row r="54">
      <c r="A54" s="10"/>
      <c r="B54" s="7"/>
      <c r="C54" s="7"/>
      <c r="D54" s="7"/>
    </row>
    <row r="55">
      <c r="A55" s="10"/>
      <c r="B55" s="7"/>
      <c r="C55" s="7"/>
      <c r="D55" s="7"/>
    </row>
    <row r="56">
      <c r="A56" s="10"/>
      <c r="B56" s="7"/>
      <c r="C56" s="7"/>
      <c r="D56" s="7"/>
    </row>
    <row r="57">
      <c r="A57" s="10"/>
      <c r="B57" s="7"/>
      <c r="C57" s="7"/>
      <c r="D57" s="7"/>
    </row>
    <row r="58">
      <c r="A58" s="10"/>
      <c r="B58" s="7"/>
      <c r="C58" s="7"/>
      <c r="D58" s="7"/>
    </row>
    <row r="59">
      <c r="A59" s="10"/>
      <c r="B59" s="7"/>
      <c r="C59" s="7"/>
      <c r="D59" s="7"/>
    </row>
    <row r="60">
      <c r="A60" s="10"/>
      <c r="B60" s="7"/>
      <c r="C60" s="7"/>
      <c r="D60" s="7"/>
    </row>
    <row r="61">
      <c r="A61" s="10"/>
      <c r="B61" s="7"/>
      <c r="C61" s="7"/>
      <c r="D61" s="7"/>
    </row>
    <row r="62">
      <c r="A62" s="10"/>
      <c r="B62" s="7"/>
      <c r="C62" s="7"/>
      <c r="D62" s="7"/>
    </row>
    <row r="63">
      <c r="A63" s="10"/>
      <c r="B63" s="7"/>
      <c r="C63" s="7"/>
      <c r="D63" s="7"/>
    </row>
    <row r="64">
      <c r="A64" s="10"/>
      <c r="B64" s="8"/>
      <c r="C64" s="8"/>
      <c r="D64" s="8"/>
    </row>
    <row r="65">
      <c r="A65" s="10"/>
      <c r="B65" s="8"/>
      <c r="C65" s="8"/>
      <c r="D65" s="8"/>
    </row>
    <row r="66">
      <c r="A66" s="10"/>
      <c r="B66" s="8"/>
      <c r="C66" s="8"/>
      <c r="D66" s="8"/>
    </row>
    <row r="67">
      <c r="A67" s="10"/>
      <c r="B67" s="8"/>
      <c r="C67" s="8"/>
      <c r="D67" s="8"/>
    </row>
    <row r="68">
      <c r="A68" s="10"/>
      <c r="B68" s="8"/>
      <c r="C68" s="8"/>
      <c r="D68" s="8"/>
    </row>
    <row r="69">
      <c r="A69" s="10"/>
      <c r="B69" s="8"/>
      <c r="C69" s="8"/>
      <c r="D69" s="8"/>
    </row>
    <row r="70">
      <c r="A70" s="10"/>
      <c r="B70" s="8"/>
      <c r="C70" s="8"/>
      <c r="D70" s="8"/>
    </row>
    <row r="71">
      <c r="A71" s="10"/>
      <c r="B71" s="8"/>
      <c r="C71" s="8"/>
      <c r="D71" s="8"/>
    </row>
    <row r="72">
      <c r="A72" s="10"/>
      <c r="B72" s="8"/>
      <c r="C72" s="8"/>
      <c r="D72" s="8"/>
    </row>
    <row r="73">
      <c r="A73" s="10"/>
      <c r="B73" s="8"/>
      <c r="C73" s="8"/>
      <c r="D73" s="8"/>
    </row>
    <row r="74">
      <c r="A74" s="10"/>
      <c r="B74" s="8"/>
      <c r="C74" s="8"/>
      <c r="D74" s="8"/>
    </row>
    <row r="75">
      <c r="A75" s="10"/>
      <c r="B75" s="8"/>
      <c r="C75" s="8"/>
      <c r="D75" s="8"/>
    </row>
    <row r="76">
      <c r="A76" s="10"/>
      <c r="B76" s="8"/>
      <c r="C76" s="8"/>
      <c r="D76" s="8"/>
    </row>
    <row r="77">
      <c r="A77" s="10"/>
      <c r="B77" s="8"/>
      <c r="C77" s="8"/>
      <c r="D77" s="8"/>
    </row>
    <row r="78">
      <c r="A78" s="10"/>
      <c r="B78" s="8"/>
      <c r="C78" s="8"/>
      <c r="D78" s="8"/>
    </row>
    <row r="79">
      <c r="A79" s="10"/>
      <c r="B79" s="8"/>
      <c r="C79" s="8"/>
      <c r="D79" s="8"/>
    </row>
    <row r="80">
      <c r="A80" s="10"/>
      <c r="B80" s="8"/>
      <c r="C80" s="8"/>
      <c r="D80" s="8"/>
    </row>
    <row r="81">
      <c r="A81" s="10"/>
      <c r="B81" s="8"/>
      <c r="C81" s="8"/>
      <c r="D81" s="8"/>
    </row>
    <row r="82">
      <c r="A82" s="10"/>
      <c r="B82" s="8"/>
      <c r="C82" s="8"/>
      <c r="D82" s="8"/>
    </row>
    <row r="83">
      <c r="A83" s="10"/>
      <c r="B83" s="8"/>
      <c r="C83" s="8"/>
      <c r="D83" s="8"/>
    </row>
    <row r="84">
      <c r="A84" s="10"/>
      <c r="B84" s="8"/>
      <c r="C84" s="8"/>
      <c r="D84" s="8"/>
    </row>
    <row r="85">
      <c r="A85" s="10"/>
      <c r="B85" s="8"/>
      <c r="C85" s="8"/>
      <c r="D85" s="8"/>
    </row>
    <row r="86">
      <c r="A86" s="10"/>
      <c r="B86" s="8"/>
      <c r="C86" s="8"/>
      <c r="D86" s="8"/>
    </row>
    <row r="87">
      <c r="A87" s="10"/>
      <c r="B87" s="8"/>
      <c r="C87" s="8"/>
      <c r="D87" s="8"/>
    </row>
    <row r="88">
      <c r="A88" s="10"/>
      <c r="B88" s="8"/>
      <c r="C88" s="8"/>
      <c r="D88" s="8"/>
    </row>
    <row r="89">
      <c r="A89" s="10"/>
      <c r="B89" s="8"/>
      <c r="C89" s="8"/>
      <c r="D89" s="8"/>
    </row>
    <row r="90">
      <c r="A90" s="10"/>
      <c r="B90" s="8"/>
      <c r="C90" s="8"/>
      <c r="D90" s="8"/>
    </row>
    <row r="91">
      <c r="A91" s="10"/>
      <c r="B91" s="8"/>
      <c r="C91" s="8"/>
      <c r="D91" s="8"/>
    </row>
    <row r="92">
      <c r="A92" s="10"/>
      <c r="B92" s="8"/>
      <c r="C92" s="8"/>
      <c r="D92" s="8"/>
    </row>
    <row r="93">
      <c r="A93" s="10"/>
      <c r="B93" s="8"/>
      <c r="C93" s="8"/>
      <c r="D93" s="8"/>
    </row>
    <row r="94">
      <c r="A94" s="10"/>
      <c r="B94" s="8"/>
      <c r="C94" s="8"/>
      <c r="D94" s="8"/>
    </row>
    <row r="95">
      <c r="A95" s="10"/>
      <c r="B95" s="8"/>
      <c r="C95" s="8"/>
      <c r="D95" s="8"/>
    </row>
    <row r="96">
      <c r="A96" s="10"/>
      <c r="B96" s="8"/>
      <c r="C96" s="8"/>
      <c r="D96" s="8"/>
    </row>
    <row r="97">
      <c r="A97" s="10"/>
      <c r="B97" s="8"/>
      <c r="C97" s="8"/>
      <c r="D97" s="8"/>
    </row>
    <row r="98">
      <c r="A98" s="10"/>
      <c r="B98" s="8"/>
      <c r="C98" s="8"/>
      <c r="D98" s="8"/>
    </row>
    <row r="99">
      <c r="A99" s="10"/>
      <c r="B99" s="8"/>
      <c r="C99" s="8"/>
      <c r="D99" s="8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</sheetData>
  <mergeCells>
    <mergeCell ref="A1:D1"/>
  </mergeCells>
  <hyperlinks>
    <hyperlink ref="A4" location="'Cpt 18404 00036528501'!A1" display=""/>
  </hyperlinks>
  <printOptions horizontalCentered="1"/>
  <pageMargins left="0.7" right="0.7" top="0.75" bottom="0.75" header="0.3" footer="0.3"/>
  <pageSetup paperSize="9" orientation="portrait" fitToWidth="1" fitToHeight="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G539"/>
  <sheetViews>
    <sheetView workbookViewId="0">
      <selection sqref="A1:F1"/>
    </sheetView>
  </sheetViews>
  <sheetFormatPr baseColWidth="10" defaultColWidth="9.28515625" defaultRowHeight="15" x14ac:dyDescent="0.25"/>
  <cols>
    <col min="1" max="2" width="13.7109375" customWidth="1" style="5"/>
    <col min="3" max="3" width="61.7109375" customWidth="1" style="56"/>
    <col min="4" max="6" width="16" customWidth="1" style="3"/>
    <col min="7" max="7" width="5.7109375" customWidth="1" style="37"/>
  </cols>
  <sheetData>
    <row r="1">
      <c r="A1" s="74" t="s">
        <v>8</v>
      </c>
      <c r="B1" s="74" t="s">
        <v>8</v>
      </c>
      <c r="C1" s="74" t="s">
        <v>8</v>
      </c>
      <c r="D1" s="74" t="s">
        <v>8</v>
      </c>
      <c r="E1" s="74" t="s">
        <v>8</v>
      </c>
      <c r="F1" s="74" t="s">
        <v>8</v>
      </c>
    </row>
    <row r="2">
      <c r="A2" s="75" t="s">
        <v>9</v>
      </c>
      <c r="B2" s="75" t="s">
        <v>9</v>
      </c>
      <c r="C2" s="75" t="s">
        <v>9</v>
      </c>
      <c r="D2" s="75" t="s">
        <v>9</v>
      </c>
      <c r="E2" s="75" t="s">
        <v>9</v>
      </c>
      <c r="F2" s="75" t="s">
        <v>9</v>
      </c>
    </row>
    <row r="3">
      <c r="A3" s="76"/>
      <c r="B3" s="76"/>
      <c r="C3" s="76"/>
      <c r="D3" s="77" t="s">
        <v>10</v>
      </c>
      <c r="E3" s="77" t="s">
        <v>10</v>
      </c>
      <c r="F3" s="22">
        <f>=F538-SUM(D6:D536)-SUM(E6:E536)</f>
      </c>
      <c r="G3" s="38" t="s">
        <v>7</v>
      </c>
    </row>
    <row r="4">
      <c r="A4" s="73" t="s">
        <v>11</v>
      </c>
      <c r="B4" s="73" t="s">
        <v>11</v>
      </c>
      <c r="C4" s="73" t="s">
        <v>11</v>
      </c>
      <c r="D4" s="73" t="s">
        <v>11</v>
      </c>
      <c r="E4" s="73" t="s">
        <v>11</v>
      </c>
      <c r="F4" s="73" t="s">
        <v>11</v>
      </c>
      <c r="G4" s="73"/>
    </row>
    <row r="5">
      <c r="A5" s="4" t="s">
        <v>12</v>
      </c>
      <c r="B5" s="4" t="s">
        <v>13</v>
      </c>
      <c r="C5" s="55" t="s">
        <v>14</v>
      </c>
      <c r="D5" s="2" t="s">
        <v>15</v>
      </c>
      <c r="E5" s="2" t="s">
        <v>16</v>
      </c>
      <c r="F5" s="2" t="s">
        <v>3</v>
      </c>
      <c r="G5" s="6" t="s">
        <v>4</v>
      </c>
    </row>
    <row r="6">
      <c r="A6" s="13">
        <v>45600</v>
      </c>
      <c r="B6" s="16">
        <v>45600</v>
      </c>
      <c r="C6" s="57" t="s">
        <v>17</v>
      </c>
      <c r="D6" s="18">
        <v>-97.09</v>
      </c>
      <c r="E6" s="18"/>
      <c r="F6" s="18">
        <f>=F3+D6+E6</f>
      </c>
      <c r="G6" s="44" t="s">
        <v>7</v>
      </c>
    </row>
    <row r="7">
      <c r="A7" s="11">
        <v>45601</v>
      </c>
      <c r="B7" s="15">
        <v>45601</v>
      </c>
      <c r="C7" s="66" t="s">
        <v>18</v>
      </c>
      <c r="D7" s="19">
        <v>-343.2</v>
      </c>
      <c r="E7" s="19"/>
      <c r="F7" s="19">
        <f>=IF(F6&lt;&gt;"NA",F6+D7+E7,"NA")</f>
      </c>
      <c r="G7" s="45" t="s">
        <v>7</v>
      </c>
    </row>
    <row r="8">
      <c r="A8" s="13">
        <v>45601</v>
      </c>
      <c r="B8" s="16">
        <v>45601</v>
      </c>
      <c r="C8" s="57" t="s">
        <v>19</v>
      </c>
      <c r="D8" s="18">
        <v>-23.17</v>
      </c>
      <c r="E8" s="18"/>
      <c r="F8" s="18">
        <f>=IF(F7&lt;&gt;"NA",F7+D8+E8,"NA")</f>
      </c>
      <c r="G8" s="44" t="s">
        <v>7</v>
      </c>
    </row>
    <row r="9">
      <c r="A9" s="11">
        <v>45601</v>
      </c>
      <c r="B9" s="15">
        <v>45601</v>
      </c>
      <c r="C9" s="66" t="s">
        <v>20</v>
      </c>
      <c r="D9" s="19">
        <v>-63.65</v>
      </c>
      <c r="E9" s="19"/>
      <c r="F9" s="19">
        <f>=IF(F8&lt;&gt;"NA",F8+D9+E9,"NA")</f>
      </c>
      <c r="G9" s="45" t="s">
        <v>7</v>
      </c>
    </row>
    <row r="10">
      <c r="A10" s="13">
        <v>45601</v>
      </c>
      <c r="B10" s="16">
        <v>45601</v>
      </c>
      <c r="C10" s="57" t="s">
        <v>21</v>
      </c>
      <c r="D10" s="18">
        <v>-81.05</v>
      </c>
      <c r="E10" s="18"/>
      <c r="F10" s="18">
        <f>=IF(F9&lt;&gt;"NA",F9+D10+E10,"NA")</f>
      </c>
      <c r="G10" s="44" t="s">
        <v>7</v>
      </c>
    </row>
    <row r="11">
      <c r="A11" s="11">
        <v>45601</v>
      </c>
      <c r="B11" s="15">
        <v>45601</v>
      </c>
      <c r="C11" s="66" t="s">
        <v>22</v>
      </c>
      <c r="D11" s="19"/>
      <c r="E11" s="19">
        <v>500</v>
      </c>
      <c r="F11" s="19">
        <f>=IF(F10&lt;&gt;"NA",F10+D11+E11,"NA")</f>
      </c>
      <c r="G11" s="45" t="s">
        <v>7</v>
      </c>
    </row>
    <row r="12">
      <c r="A12" s="13">
        <v>45601</v>
      </c>
      <c r="B12" s="16">
        <v>45601</v>
      </c>
      <c r="C12" s="57" t="s">
        <v>23</v>
      </c>
      <c r="D12" s="18">
        <v>-20.04</v>
      </c>
      <c r="E12" s="18"/>
      <c r="F12" s="18">
        <f>=IF(F11&lt;&gt;"NA",F11+D12+E12,"NA")</f>
      </c>
      <c r="G12" s="44" t="s">
        <v>7</v>
      </c>
    </row>
    <row r="13">
      <c r="A13" s="11">
        <v>45602</v>
      </c>
      <c r="B13" s="15">
        <v>45602</v>
      </c>
      <c r="C13" s="66" t="s">
        <v>24</v>
      </c>
      <c r="D13" s="19"/>
      <c r="E13" s="19">
        <v>500</v>
      </c>
      <c r="F13" s="19">
        <f>=IF(F12&lt;&gt;"NA",F12+D13+E13,"NA")</f>
      </c>
      <c r="G13" s="45" t="s">
        <v>7</v>
      </c>
    </row>
    <row r="14">
      <c r="A14" s="13">
        <v>45602</v>
      </c>
      <c r="B14" s="16">
        <v>45602</v>
      </c>
      <c r="C14" s="57" t="s">
        <v>25</v>
      </c>
      <c r="D14" s="18">
        <v>-11.88</v>
      </c>
      <c r="E14" s="18"/>
      <c r="F14" s="18">
        <f>=IF(F13&lt;&gt;"NA",F13+D14+E14,"NA")</f>
      </c>
      <c r="G14" s="44" t="s">
        <v>7</v>
      </c>
    </row>
    <row r="15">
      <c r="A15" s="11">
        <v>45603</v>
      </c>
      <c r="B15" s="15">
        <v>45603</v>
      </c>
      <c r="C15" s="66" t="s">
        <v>26</v>
      </c>
      <c r="D15" s="19"/>
      <c r="E15" s="19">
        <v>2950</v>
      </c>
      <c r="F15" s="19">
        <f>=IF(F14&lt;&gt;"NA",F14+D15+E15,"NA")</f>
      </c>
      <c r="G15" s="45" t="s">
        <v>7</v>
      </c>
    </row>
    <row r="16">
      <c r="A16" s="13">
        <v>45603</v>
      </c>
      <c r="B16" s="16">
        <v>45603</v>
      </c>
      <c r="C16" s="57" t="s">
        <v>26</v>
      </c>
      <c r="D16" s="18"/>
      <c r="E16" s="18">
        <v>50</v>
      </c>
      <c r="F16" s="18">
        <f>=IF(F15&lt;&gt;"NA",F15+D16+E16,"NA")</f>
      </c>
      <c r="G16" s="44" t="s">
        <v>7</v>
      </c>
    </row>
    <row r="17">
      <c r="A17" s="11">
        <v>45603</v>
      </c>
      <c r="B17" s="15">
        <v>45603</v>
      </c>
      <c r="C17" s="66" t="s">
        <v>27</v>
      </c>
      <c r="D17" s="19">
        <v>-479.8</v>
      </c>
      <c r="E17" s="19"/>
      <c r="F17" s="19">
        <f>=IF(F16&lt;&gt;"NA",F16+D17+E17,"NA")</f>
      </c>
      <c r="G17" s="45" t="s">
        <v>7</v>
      </c>
    </row>
    <row r="18">
      <c r="A18" s="13">
        <v>45603</v>
      </c>
      <c r="B18" s="16">
        <v>45603</v>
      </c>
      <c r="C18" s="57" t="s">
        <v>28</v>
      </c>
      <c r="D18" s="18">
        <v>-658.44</v>
      </c>
      <c r="E18" s="18"/>
      <c r="F18" s="18">
        <f>=IF(F17&lt;&gt;"NA",F17+D18+E18,"NA")</f>
      </c>
      <c r="G18" s="44" t="s">
        <v>7</v>
      </c>
    </row>
    <row r="19">
      <c r="A19" s="11">
        <v>45603</v>
      </c>
      <c r="B19" s="15">
        <v>45603</v>
      </c>
      <c r="C19" s="66" t="s">
        <v>29</v>
      </c>
      <c r="D19" s="19">
        <v>-1280</v>
      </c>
      <c r="E19" s="19"/>
      <c r="F19" s="19">
        <f>=IF(F18&lt;&gt;"NA",F18+D19+E19,"NA")</f>
      </c>
      <c r="G19" s="45" t="s">
        <v>7</v>
      </c>
    </row>
    <row r="20">
      <c r="A20" s="13">
        <v>45607</v>
      </c>
      <c r="B20" s="16">
        <v>45597</v>
      </c>
      <c r="C20" s="57" t="s">
        <v>30</v>
      </c>
      <c r="D20" s="18">
        <v>-37.99</v>
      </c>
      <c r="E20" s="18"/>
      <c r="F20" s="18">
        <f>=IF(F19&lt;&gt;"NA",F19+D20+E20,"NA")</f>
      </c>
      <c r="G20" s="44" t="s">
        <v>7</v>
      </c>
    </row>
    <row r="21">
      <c r="A21" s="11">
        <v>45607</v>
      </c>
      <c r="B21" s="15">
        <v>45607</v>
      </c>
      <c r="C21" s="66" t="s">
        <v>31</v>
      </c>
      <c r="D21" s="19">
        <v>-24.53</v>
      </c>
      <c r="E21" s="19"/>
      <c r="F21" s="19">
        <f>=IF(F20&lt;&gt;"NA",F20+D21+E21,"NA")</f>
      </c>
      <c r="G21" s="45" t="s">
        <v>7</v>
      </c>
    </row>
    <row r="22">
      <c r="A22" s="13">
        <v>45607</v>
      </c>
      <c r="B22" s="16">
        <v>45607</v>
      </c>
      <c r="C22" s="57" t="s">
        <v>32</v>
      </c>
      <c r="D22" s="18"/>
      <c r="E22" s="18">
        <v>108.07</v>
      </c>
      <c r="F22" s="18">
        <f>=IF(F21&lt;&gt;"NA",F21+D22+E22,"NA")</f>
      </c>
      <c r="G22" s="44" t="s">
        <v>7</v>
      </c>
    </row>
    <row r="23">
      <c r="A23" s="11">
        <v>45607</v>
      </c>
      <c r="B23" s="15">
        <v>45607</v>
      </c>
      <c r="C23" s="66" t="s">
        <v>33</v>
      </c>
      <c r="D23" s="19">
        <v>-0.53</v>
      </c>
      <c r="E23" s="19"/>
      <c r="F23" s="19">
        <f>=IF(F22&lt;&gt;"NA",F22+D23+E23,"NA")</f>
      </c>
      <c r="G23" s="45" t="s">
        <v>7</v>
      </c>
    </row>
    <row r="24">
      <c r="A24" s="13">
        <v>45607</v>
      </c>
      <c r="B24" s="16">
        <v>45607</v>
      </c>
      <c r="C24" s="57" t="s">
        <v>34</v>
      </c>
      <c r="D24" s="18">
        <v>-6.91</v>
      </c>
      <c r="E24" s="18"/>
      <c r="F24" s="18">
        <f>=IF(F23&lt;&gt;"NA",F23+D24+E24,"NA")</f>
      </c>
      <c r="G24" s="44" t="s">
        <v>7</v>
      </c>
    </row>
    <row r="25">
      <c r="A25" s="11">
        <v>45607</v>
      </c>
      <c r="B25" s="15">
        <v>45607</v>
      </c>
      <c r="C25" s="66" t="s">
        <v>35</v>
      </c>
      <c r="D25" s="19">
        <v>-22.15</v>
      </c>
      <c r="E25" s="19"/>
      <c r="F25" s="19">
        <f>=IF(F24&lt;&gt;"NA",F24+D25+E25,"NA")</f>
      </c>
      <c r="G25" s="45" t="s">
        <v>7</v>
      </c>
    </row>
    <row r="26">
      <c r="A26" s="13">
        <v>45608</v>
      </c>
      <c r="B26" s="16">
        <v>45608</v>
      </c>
      <c r="C26" s="57" t="s">
        <v>36</v>
      </c>
      <c r="D26" s="18">
        <v>-31.54</v>
      </c>
      <c r="E26" s="18"/>
      <c r="F26" s="18">
        <f>=IF(F25&lt;&gt;"NA",F25+D26+E26,"NA")</f>
      </c>
      <c r="G26" s="44" t="s">
        <v>7</v>
      </c>
    </row>
    <row r="27">
      <c r="A27" s="11">
        <v>45609</v>
      </c>
      <c r="B27" s="15">
        <v>45609</v>
      </c>
      <c r="C27" s="66" t="s">
        <v>37</v>
      </c>
      <c r="D27" s="19">
        <v>-64.74</v>
      </c>
      <c r="E27" s="19"/>
      <c r="F27" s="19">
        <f>=IF(F26&lt;&gt;"NA",F26+D27+E27,"NA")</f>
      </c>
      <c r="G27" s="45" t="s">
        <v>7</v>
      </c>
    </row>
    <row r="28">
      <c r="A28" s="13">
        <v>45609</v>
      </c>
      <c r="B28" s="16">
        <v>45609</v>
      </c>
      <c r="C28" s="57" t="s">
        <v>38</v>
      </c>
      <c r="D28" s="18">
        <v>-2.99</v>
      </c>
      <c r="E28" s="18"/>
      <c r="F28" s="18">
        <f>=IF(F27&lt;&gt;"NA",F27+D28+E28,"NA")</f>
      </c>
      <c r="G28" s="44" t="s">
        <v>7</v>
      </c>
    </row>
    <row r="29">
      <c r="A29" s="11">
        <v>45611</v>
      </c>
      <c r="B29" s="15">
        <v>45611</v>
      </c>
      <c r="C29" s="66" t="s">
        <v>39</v>
      </c>
      <c r="D29" s="19"/>
      <c r="E29" s="19">
        <v>46.16</v>
      </c>
      <c r="F29" s="19">
        <f>=IF(F28&lt;&gt;"NA",F28+D29+E29,"NA")</f>
      </c>
      <c r="G29" s="45" t="s">
        <v>7</v>
      </c>
    </row>
    <row r="30">
      <c r="A30" s="13">
        <v>45614</v>
      </c>
      <c r="B30" s="16">
        <v>45614</v>
      </c>
      <c r="C30" s="57" t="s">
        <v>40</v>
      </c>
      <c r="D30" s="18">
        <v>-15</v>
      </c>
      <c r="E30" s="18"/>
      <c r="F30" s="18">
        <f>=IF(F29&lt;&gt;"NA",F29+D30+E30,"NA")</f>
      </c>
      <c r="G30" s="44" t="s">
        <v>7</v>
      </c>
    </row>
    <row r="31">
      <c r="A31" s="11">
        <v>45614</v>
      </c>
      <c r="B31" s="15">
        <v>45614</v>
      </c>
      <c r="C31" s="66" t="s">
        <v>41</v>
      </c>
      <c r="D31" s="19"/>
      <c r="E31" s="19">
        <v>28.39</v>
      </c>
      <c r="F31" s="19">
        <f>=IF(F30&lt;&gt;"NA",F30+D31+E31,"NA")</f>
      </c>
      <c r="G31" s="45" t="s">
        <v>7</v>
      </c>
    </row>
    <row r="32">
      <c r="A32" s="13">
        <v>45614</v>
      </c>
      <c r="B32" s="16">
        <v>45614</v>
      </c>
      <c r="C32" s="57" t="s">
        <v>42</v>
      </c>
      <c r="D32" s="18">
        <v>-9.99</v>
      </c>
      <c r="E32" s="18"/>
      <c r="F32" s="18">
        <f>=IF(F31&lt;&gt;"NA",F31+D32+E32,"NA")</f>
      </c>
      <c r="G32" s="44" t="s">
        <v>7</v>
      </c>
    </row>
    <row r="33">
      <c r="A33" s="11">
        <v>45615</v>
      </c>
      <c r="B33" s="15">
        <v>45615</v>
      </c>
      <c r="C33" s="66" t="s">
        <v>43</v>
      </c>
      <c r="D33" s="19"/>
      <c r="E33" s="19">
        <v>1000</v>
      </c>
      <c r="F33" s="19">
        <f>=IF(F32&lt;&gt;"NA",F32+D33+E33,"NA")</f>
      </c>
      <c r="G33" s="45" t="s">
        <v>7</v>
      </c>
    </row>
    <row r="34">
      <c r="A34" s="13">
        <v>45615</v>
      </c>
      <c r="B34" s="16">
        <v>45615</v>
      </c>
      <c r="C34" s="57" t="s">
        <v>44</v>
      </c>
      <c r="D34" s="18">
        <v>-15.2</v>
      </c>
      <c r="E34" s="18"/>
      <c r="F34" s="18">
        <f>=IF(F33&lt;&gt;"NA",F33+D34+E34,"NA")</f>
      </c>
      <c r="G34" s="44" t="s">
        <v>7</v>
      </c>
    </row>
    <row r="35">
      <c r="A35" s="11">
        <v>45617</v>
      </c>
      <c r="B35" s="15">
        <v>45617</v>
      </c>
      <c r="C35" s="66" t="s">
        <v>45</v>
      </c>
      <c r="D35" s="19"/>
      <c r="E35" s="19">
        <v>73.69</v>
      </c>
      <c r="F35" s="19">
        <f>=IF(F34&lt;&gt;"NA",F34+D35+E35,"NA")</f>
      </c>
      <c r="G35" s="45" t="s">
        <v>7</v>
      </c>
    </row>
    <row r="36">
      <c r="A36" s="13">
        <v>45618</v>
      </c>
      <c r="B36" s="16">
        <v>45618</v>
      </c>
      <c r="C36" s="57" t="s">
        <v>46</v>
      </c>
      <c r="D36" s="18">
        <v>-16.79</v>
      </c>
      <c r="E36" s="18"/>
      <c r="F36" s="18">
        <f>=IF(F35&lt;&gt;"NA",F35+D36+E36,"NA")</f>
      </c>
      <c r="G36" s="44" t="s">
        <v>7</v>
      </c>
    </row>
    <row r="37">
      <c r="A37" s="11">
        <v>45621</v>
      </c>
      <c r="B37" s="15">
        <v>45621</v>
      </c>
      <c r="C37" s="66" t="s">
        <v>47</v>
      </c>
      <c r="D37" s="19"/>
      <c r="E37" s="19">
        <v>1860</v>
      </c>
      <c r="F37" s="19">
        <f>=IF(F36&lt;&gt;"NA",F36+D37+E37,"NA")</f>
      </c>
      <c r="G37" s="45" t="s">
        <v>7</v>
      </c>
    </row>
    <row r="38">
      <c r="A38" s="13">
        <v>45623</v>
      </c>
      <c r="B38" s="16">
        <v>45623</v>
      </c>
      <c r="C38" s="57" t="s">
        <v>48</v>
      </c>
      <c r="D38" s="18">
        <v>-66.48</v>
      </c>
      <c r="E38" s="18"/>
      <c r="F38" s="18">
        <f>=IF(F37&lt;&gt;"NA",F37+D38+E38,"NA")</f>
      </c>
      <c r="G38" s="44" t="s">
        <v>7</v>
      </c>
    </row>
    <row r="39">
      <c r="A39" s="11">
        <v>45623</v>
      </c>
      <c r="B39" s="15">
        <v>45623</v>
      </c>
      <c r="C39" s="66" t="s">
        <v>49</v>
      </c>
      <c r="D39" s="19">
        <v>-269.1</v>
      </c>
      <c r="E39" s="19"/>
      <c r="F39" s="19">
        <f>=IF(F38&lt;&gt;"NA",F38+D39+E39,"NA")</f>
      </c>
      <c r="G39" s="45" t="s">
        <v>7</v>
      </c>
    </row>
    <row r="40">
      <c r="A40" s="13">
        <v>45624</v>
      </c>
      <c r="B40" s="16">
        <v>45624</v>
      </c>
      <c r="C40" s="57" t="s">
        <v>50</v>
      </c>
      <c r="D40" s="18">
        <v>-752</v>
      </c>
      <c r="E40" s="18"/>
      <c r="F40" s="18">
        <f>=IF(F39&lt;&gt;"NA",F39+D40+E40,"NA")</f>
      </c>
      <c r="G40" s="44" t="s">
        <v>7</v>
      </c>
    </row>
    <row r="41">
      <c r="A41" s="11">
        <v>45628</v>
      </c>
      <c r="B41" s="15">
        <v>45628</v>
      </c>
      <c r="C41" s="66" t="s">
        <v>51</v>
      </c>
      <c r="D41" s="19"/>
      <c r="E41" s="19">
        <v>137.53</v>
      </c>
      <c r="F41" s="19">
        <f>=IF(F40&lt;&gt;"NA",F40+D41+E41,"NA")</f>
      </c>
      <c r="G41" s="45" t="s">
        <v>7</v>
      </c>
    </row>
    <row r="42">
      <c r="A42" s="13">
        <v>45629</v>
      </c>
      <c r="B42" s="16">
        <v>45629</v>
      </c>
      <c r="C42" s="57" t="s">
        <v>52</v>
      </c>
      <c r="D42" s="18">
        <v>-361.2</v>
      </c>
      <c r="E42" s="18"/>
      <c r="F42" s="18">
        <f>=IF(F41&lt;&gt;"NA",F41+D42+E42,"NA")</f>
      </c>
      <c r="G42" s="44" t="s">
        <v>7</v>
      </c>
    </row>
    <row r="43">
      <c r="A43" s="11">
        <v>45629</v>
      </c>
      <c r="B43" s="15">
        <v>45629</v>
      </c>
      <c r="C43" s="66" t="s">
        <v>29</v>
      </c>
      <c r="D43" s="19">
        <v>-1280</v>
      </c>
      <c r="E43" s="19"/>
      <c r="F43" s="19">
        <f>=IF(F42&lt;&gt;"NA",F42+D43+E43,"NA")</f>
      </c>
      <c r="G43" s="45" t="s">
        <v>7</v>
      </c>
    </row>
    <row r="44">
      <c r="A44" s="13">
        <v>45630</v>
      </c>
      <c r="B44" s="16">
        <v>45630</v>
      </c>
      <c r="C44" s="57" t="s">
        <v>53</v>
      </c>
      <c r="D44" s="18">
        <v>-117.78</v>
      </c>
      <c r="E44" s="18"/>
      <c r="F44" s="18">
        <f>=IF(F43&lt;&gt;"NA",F43+D44+E44,"NA")</f>
      </c>
      <c r="G44" s="44" t="s">
        <v>7</v>
      </c>
    </row>
    <row r="45">
      <c r="A45" s="11">
        <v>45630</v>
      </c>
      <c r="B45" s="15">
        <v>45630</v>
      </c>
      <c r="C45" s="66" t="s">
        <v>54</v>
      </c>
      <c r="D45" s="19"/>
      <c r="E45" s="19">
        <v>380.18</v>
      </c>
      <c r="F45" s="19">
        <f>=IF(F44&lt;&gt;"NA",F44+D45+E45,"NA")</f>
      </c>
      <c r="G45" s="45" t="s">
        <v>7</v>
      </c>
    </row>
    <row r="46">
      <c r="A46" s="13">
        <v>45631</v>
      </c>
      <c r="B46" s="16">
        <v>45631</v>
      </c>
      <c r="C46" s="57" t="s">
        <v>55</v>
      </c>
      <c r="D46" s="18">
        <v>-23.17</v>
      </c>
      <c r="E46" s="18"/>
      <c r="F46" s="18">
        <f>=IF(F45&lt;&gt;"NA",F45+D46+E46,"NA")</f>
      </c>
      <c r="G46" s="44" t="s">
        <v>7</v>
      </c>
    </row>
    <row r="47">
      <c r="A47" s="11">
        <v>45631</v>
      </c>
      <c r="B47" s="15">
        <v>45631</v>
      </c>
      <c r="C47" s="66" t="s">
        <v>56</v>
      </c>
      <c r="D47" s="19">
        <v>-63.65</v>
      </c>
      <c r="E47" s="19"/>
      <c r="F47" s="19">
        <f>=IF(F46&lt;&gt;"NA",F46+D47+E47,"NA")</f>
      </c>
      <c r="G47" s="45" t="s">
        <v>7</v>
      </c>
    </row>
    <row r="48">
      <c r="A48" s="13">
        <v>45631</v>
      </c>
      <c r="B48" s="16">
        <v>45631</v>
      </c>
      <c r="C48" s="57" t="s">
        <v>57</v>
      </c>
      <c r="D48" s="18">
        <v>-81.05</v>
      </c>
      <c r="E48" s="18"/>
      <c r="F48" s="18">
        <f>=IF(F47&lt;&gt;"NA",F47+D48+E48,"NA")</f>
      </c>
      <c r="G48" s="44" t="s">
        <v>7</v>
      </c>
    </row>
    <row r="49">
      <c r="A49" s="11">
        <v>45631</v>
      </c>
      <c r="B49" s="15">
        <v>45631</v>
      </c>
      <c r="C49" s="66" t="s">
        <v>58</v>
      </c>
      <c r="D49" s="19"/>
      <c r="E49" s="19">
        <v>1000</v>
      </c>
      <c r="F49" s="19">
        <f>=IF(F48&lt;&gt;"NA",F48+D49+E49,"NA")</f>
      </c>
      <c r="G49" s="45" t="s">
        <v>7</v>
      </c>
    </row>
    <row r="50">
      <c r="A50" s="13">
        <v>45631</v>
      </c>
      <c r="B50" s="16">
        <v>45631</v>
      </c>
      <c r="C50" s="57" t="s">
        <v>59</v>
      </c>
      <c r="D50" s="18">
        <v>-19.97</v>
      </c>
      <c r="E50" s="18"/>
      <c r="F50" s="18">
        <f>=IF(F49&lt;&gt;"NA",F49+D50+E50,"NA")</f>
      </c>
      <c r="G50" s="44" t="s">
        <v>7</v>
      </c>
    </row>
    <row r="51">
      <c r="A51" s="11">
        <v>45631</v>
      </c>
      <c r="B51" s="15">
        <v>45631</v>
      </c>
      <c r="C51" s="66" t="s">
        <v>60</v>
      </c>
      <c r="D51" s="19">
        <v>-241.5</v>
      </c>
      <c r="E51" s="19"/>
      <c r="F51" s="19">
        <f>=IF(F50&lt;&gt;"NA",F50+D51+E51,"NA")</f>
      </c>
      <c r="G51" s="45" t="s">
        <v>7</v>
      </c>
    </row>
    <row r="52">
      <c r="A52" s="13">
        <v>45631</v>
      </c>
      <c r="B52" s="16">
        <v>45631</v>
      </c>
      <c r="C52" s="57" t="s">
        <v>61</v>
      </c>
      <c r="D52" s="18">
        <v>-12.47</v>
      </c>
      <c r="E52" s="18"/>
      <c r="F52" s="18">
        <f>=IF(F51&lt;&gt;"NA",F51+D52+E52,"NA")</f>
      </c>
      <c r="G52" s="44" t="s">
        <v>7</v>
      </c>
    </row>
    <row r="53">
      <c r="A53" s="11">
        <v>45631</v>
      </c>
      <c r="B53" s="15">
        <v>45631</v>
      </c>
      <c r="C53" s="66" t="s">
        <v>62</v>
      </c>
      <c r="D53" s="19">
        <v>-752.08</v>
      </c>
      <c r="E53" s="19"/>
      <c r="F53" s="19">
        <f>=IF(F52&lt;&gt;"NA",F52+D53+E53,"NA")</f>
      </c>
      <c r="G53" s="45" t="s">
        <v>7</v>
      </c>
    </row>
    <row r="54">
      <c r="A54" s="13">
        <v>45631</v>
      </c>
      <c r="B54" s="16">
        <v>45631</v>
      </c>
      <c r="C54" s="57" t="s">
        <v>63</v>
      </c>
      <c r="D54" s="18"/>
      <c r="E54" s="18">
        <v>9.82</v>
      </c>
      <c r="F54" s="18">
        <f>=IF(F53&lt;&gt;"NA",F53+D54+E54,"NA")</f>
      </c>
      <c r="G54" s="44" t="s">
        <v>7</v>
      </c>
    </row>
    <row r="55">
      <c r="A55" s="11">
        <v>45632</v>
      </c>
      <c r="B55" s="15">
        <v>45632</v>
      </c>
      <c r="C55" s="66" t="s">
        <v>64</v>
      </c>
      <c r="D55" s="19"/>
      <c r="E55" s="19">
        <v>98.24</v>
      </c>
      <c r="F55" s="19">
        <f>=IF(F54&lt;&gt;"NA",F54+D55+E55,"NA")</f>
      </c>
      <c r="G55" s="45" t="s">
        <v>7</v>
      </c>
    </row>
    <row r="56">
      <c r="A56" s="13">
        <v>45635</v>
      </c>
      <c r="B56" s="16">
        <v>45635</v>
      </c>
      <c r="C56" s="57" t="s">
        <v>36</v>
      </c>
      <c r="D56" s="18">
        <v>-30.99</v>
      </c>
      <c r="E56" s="18"/>
      <c r="F56" s="18">
        <f>=IF(F55&lt;&gt;"NA",F55+D56+E56,"NA")</f>
      </c>
      <c r="G56" s="44" t="s">
        <v>7</v>
      </c>
    </row>
    <row r="57">
      <c r="A57" s="11">
        <v>45635</v>
      </c>
      <c r="B57" s="15">
        <v>45635</v>
      </c>
      <c r="C57" s="66" t="s">
        <v>65</v>
      </c>
      <c r="D57" s="19"/>
      <c r="E57" s="19">
        <v>188.59</v>
      </c>
      <c r="F57" s="19">
        <f>=IF(F56&lt;&gt;"NA",F56+D57+E57,"NA")</f>
      </c>
      <c r="G57" s="45" t="s">
        <v>7</v>
      </c>
    </row>
    <row r="58">
      <c r="A58" s="13">
        <v>45636</v>
      </c>
      <c r="B58" s="16">
        <v>45627</v>
      </c>
      <c r="C58" s="57" t="s">
        <v>66</v>
      </c>
      <c r="D58" s="18">
        <v>-37.99</v>
      </c>
      <c r="E58" s="18"/>
      <c r="F58" s="18">
        <f>=IF(F57&lt;&gt;"NA",F57+D58+E58,"NA")</f>
      </c>
      <c r="G58" s="44" t="s">
        <v>7</v>
      </c>
    </row>
    <row r="59">
      <c r="A59" s="11">
        <v>45636</v>
      </c>
      <c r="B59" s="15">
        <v>45636</v>
      </c>
      <c r="C59" s="66" t="s">
        <v>67</v>
      </c>
      <c r="D59" s="19">
        <v>-51.38</v>
      </c>
      <c r="E59" s="19"/>
      <c r="F59" s="19">
        <f>=IF(F58&lt;&gt;"NA",F58+D59+E59,"NA")</f>
      </c>
      <c r="G59" s="45" t="s">
        <v>7</v>
      </c>
    </row>
    <row r="60">
      <c r="A60" s="13">
        <v>45636</v>
      </c>
      <c r="B60" s="16">
        <v>45636</v>
      </c>
      <c r="C60" s="57" t="s">
        <v>68</v>
      </c>
      <c r="D60" s="18">
        <v>-15.76</v>
      </c>
      <c r="E60" s="18"/>
      <c r="F60" s="18">
        <f>=IF(F59&lt;&gt;"NA",F59+D60+E60,"NA")</f>
      </c>
      <c r="G60" s="44" t="s">
        <v>7</v>
      </c>
    </row>
    <row r="61">
      <c r="A61" s="11">
        <v>45637</v>
      </c>
      <c r="B61" s="15">
        <v>45637</v>
      </c>
      <c r="C61" s="66" t="s">
        <v>31</v>
      </c>
      <c r="D61" s="19">
        <v>-22.52</v>
      </c>
      <c r="E61" s="19"/>
      <c r="F61" s="19">
        <f>=IF(F60&lt;&gt;"NA",F60+D61+E61,"NA")</f>
      </c>
      <c r="G61" s="45" t="s">
        <v>7</v>
      </c>
    </row>
    <row r="62">
      <c r="A62" s="13">
        <v>45637</v>
      </c>
      <c r="B62" s="16">
        <v>45637</v>
      </c>
      <c r="C62" s="57" t="s">
        <v>69</v>
      </c>
      <c r="D62" s="18"/>
      <c r="E62" s="18">
        <v>343.84</v>
      </c>
      <c r="F62" s="18">
        <f>=IF(F61&lt;&gt;"NA",F61+D62+E62,"NA")</f>
      </c>
      <c r="G62" s="44" t="s">
        <v>7</v>
      </c>
    </row>
    <row r="63">
      <c r="A63" s="11">
        <v>45637</v>
      </c>
      <c r="B63" s="15">
        <v>45637</v>
      </c>
      <c r="C63" s="66" t="s">
        <v>70</v>
      </c>
      <c r="D63" s="19">
        <v>-28</v>
      </c>
      <c r="E63" s="19"/>
      <c r="F63" s="19">
        <f>=IF(F62&lt;&gt;"NA",F62+D63+E63,"NA")</f>
      </c>
      <c r="G63" s="45" t="s">
        <v>7</v>
      </c>
    </row>
    <row r="64">
      <c r="A64" s="13">
        <v>45638</v>
      </c>
      <c r="B64" s="16">
        <v>45638</v>
      </c>
      <c r="C64" s="57" t="s">
        <v>37</v>
      </c>
      <c r="D64" s="18">
        <v>-64.74</v>
      </c>
      <c r="E64" s="18"/>
      <c r="F64" s="18">
        <f>=IF(F63&lt;&gt;"NA",F63+D64+E64,"NA")</f>
      </c>
      <c r="G64" s="44" t="s">
        <v>7</v>
      </c>
    </row>
    <row r="65">
      <c r="A65" s="11">
        <v>45638</v>
      </c>
      <c r="B65" s="15">
        <v>45638</v>
      </c>
      <c r="C65" s="66" t="s">
        <v>71</v>
      </c>
      <c r="D65" s="19">
        <v>-40.64</v>
      </c>
      <c r="E65" s="19"/>
      <c r="F65" s="19">
        <f>=IF(F64&lt;&gt;"NA",F64+D65+E65,"NA")</f>
      </c>
      <c r="G65" s="45" t="s">
        <v>7</v>
      </c>
    </row>
    <row r="66">
      <c r="A66" s="13">
        <v>45638</v>
      </c>
      <c r="B66" s="16">
        <v>45638</v>
      </c>
      <c r="C66" s="57" t="s">
        <v>72</v>
      </c>
      <c r="D66" s="18"/>
      <c r="E66" s="18">
        <v>73.68</v>
      </c>
      <c r="F66" s="18">
        <f>=IF(F65&lt;&gt;"NA",F65+D66+E66,"NA")</f>
      </c>
      <c r="G66" s="44" t="s">
        <v>7</v>
      </c>
    </row>
    <row r="67">
      <c r="A67" s="11">
        <v>45639</v>
      </c>
      <c r="B67" s="15">
        <v>45639</v>
      </c>
      <c r="C67" s="66" t="s">
        <v>73</v>
      </c>
      <c r="D67" s="19"/>
      <c r="E67" s="19">
        <v>12.67</v>
      </c>
      <c r="F67" s="19">
        <f>=IF(F66&lt;&gt;"NA",F66+D67+E67,"NA")</f>
      </c>
      <c r="G67" s="45" t="s">
        <v>7</v>
      </c>
    </row>
    <row r="68">
      <c r="A68" s="13">
        <v>45639</v>
      </c>
      <c r="B68" s="16">
        <v>45639</v>
      </c>
      <c r="C68" s="57" t="s">
        <v>74</v>
      </c>
      <c r="D68" s="18">
        <v>-22.26</v>
      </c>
      <c r="E68" s="18"/>
      <c r="F68" s="18">
        <f>=IF(F67&lt;&gt;"NA",F67+D68+E68,"NA")</f>
      </c>
      <c r="G68" s="44" t="s">
        <v>7</v>
      </c>
    </row>
    <row r="69">
      <c r="A69" s="11">
        <v>45642</v>
      </c>
      <c r="B69" s="15">
        <v>45642</v>
      </c>
      <c r="C69" s="66" t="s">
        <v>75</v>
      </c>
      <c r="D69" s="19">
        <v>-15.96</v>
      </c>
      <c r="E69" s="19"/>
      <c r="F69" s="19">
        <f>=IF(F68&lt;&gt;"NA",F68+D69+E69,"NA")</f>
      </c>
      <c r="G69" s="45" t="s">
        <v>7</v>
      </c>
    </row>
    <row r="70">
      <c r="A70" s="13">
        <v>45642</v>
      </c>
      <c r="B70" s="16">
        <v>45642</v>
      </c>
      <c r="C70" s="57" t="s">
        <v>76</v>
      </c>
      <c r="D70" s="18">
        <v>-24.66</v>
      </c>
      <c r="E70" s="18"/>
      <c r="F70" s="18">
        <f>=IF(F69&lt;&gt;"NA",F69+D70+E70,"NA")</f>
      </c>
      <c r="G70" s="44" t="s">
        <v>7</v>
      </c>
    </row>
    <row r="71">
      <c r="A71" s="11">
        <v>45642</v>
      </c>
      <c r="B71" s="15">
        <v>45642</v>
      </c>
      <c r="C71" s="66" t="s">
        <v>77</v>
      </c>
      <c r="D71" s="19"/>
      <c r="E71" s="19">
        <v>76.6</v>
      </c>
      <c r="F71" s="19">
        <f>=IF(F70&lt;&gt;"NA",F70+D71+E71,"NA")</f>
      </c>
      <c r="G71" s="45" t="s">
        <v>7</v>
      </c>
    </row>
    <row r="72">
      <c r="A72" s="13">
        <v>45642</v>
      </c>
      <c r="B72" s="16">
        <v>45642</v>
      </c>
      <c r="C72" s="57" t="s">
        <v>78</v>
      </c>
      <c r="D72" s="18">
        <v>-47.64</v>
      </c>
      <c r="E72" s="18"/>
      <c r="F72" s="18">
        <f>=IF(F71&lt;&gt;"NA",F71+D72+E72,"NA")</f>
      </c>
      <c r="G72" s="44" t="s">
        <v>7</v>
      </c>
    </row>
    <row r="73">
      <c r="A73" s="11">
        <v>45642</v>
      </c>
      <c r="B73" s="15">
        <v>45642</v>
      </c>
      <c r="C73" s="66" t="s">
        <v>79</v>
      </c>
      <c r="D73" s="19">
        <v>-3.2</v>
      </c>
      <c r="E73" s="19"/>
      <c r="F73" s="19">
        <f>=IF(F72&lt;&gt;"NA",F72+D73+E73,"NA")</f>
      </c>
      <c r="G73" s="45" t="s">
        <v>7</v>
      </c>
    </row>
    <row r="74">
      <c r="A74" s="13">
        <v>45643</v>
      </c>
      <c r="B74" s="16">
        <v>45643</v>
      </c>
      <c r="C74" s="57" t="s">
        <v>80</v>
      </c>
      <c r="D74" s="18">
        <v>-22.31</v>
      </c>
      <c r="E74" s="18"/>
      <c r="F74" s="18">
        <f>=IF(F73&lt;&gt;"NA",F73+D74+E74,"NA")</f>
      </c>
      <c r="G74" s="44" t="s">
        <v>7</v>
      </c>
    </row>
    <row r="75">
      <c r="A75" s="11">
        <v>45643</v>
      </c>
      <c r="B75" s="15">
        <v>45643</v>
      </c>
      <c r="C75" s="66" t="s">
        <v>81</v>
      </c>
      <c r="D75" s="19">
        <v>-21</v>
      </c>
      <c r="E75" s="19"/>
      <c r="F75" s="19">
        <f>=IF(F74&lt;&gt;"NA",F74+D75+E75,"NA")</f>
      </c>
      <c r="G75" s="45" t="s">
        <v>7</v>
      </c>
    </row>
    <row r="76">
      <c r="A76" s="13">
        <v>45643</v>
      </c>
      <c r="B76" s="16">
        <v>45643</v>
      </c>
      <c r="C76" s="57" t="s">
        <v>82</v>
      </c>
      <c r="D76" s="18">
        <v>-735</v>
      </c>
      <c r="E76" s="18"/>
      <c r="F76" s="18">
        <f>=IF(F75&lt;&gt;"NA",F75+D76+E76,"NA")</f>
      </c>
      <c r="G76" s="44" t="s">
        <v>7</v>
      </c>
    </row>
    <row r="77">
      <c r="A77" s="11">
        <v>45643</v>
      </c>
      <c r="B77" s="15">
        <v>45643</v>
      </c>
      <c r="C77" s="66" t="s">
        <v>83</v>
      </c>
      <c r="D77" s="19">
        <v>-51.64</v>
      </c>
      <c r="E77" s="19"/>
      <c r="F77" s="19">
        <f>=IF(F76&lt;&gt;"NA",F76+D77+E77,"NA")</f>
      </c>
      <c r="G77" s="45" t="s">
        <v>7</v>
      </c>
    </row>
    <row r="78">
      <c r="A78" s="13">
        <v>45644</v>
      </c>
      <c r="B78" s="16">
        <v>45644</v>
      </c>
      <c r="C78" s="57" t="s">
        <v>84</v>
      </c>
      <c r="D78" s="18"/>
      <c r="E78" s="18">
        <v>195.48</v>
      </c>
      <c r="F78" s="18">
        <f>=IF(F77&lt;&gt;"NA",F77+D78+E78,"NA")</f>
      </c>
      <c r="G78" s="44" t="s">
        <v>7</v>
      </c>
    </row>
    <row r="79">
      <c r="A79" s="11">
        <v>45644</v>
      </c>
      <c r="B79" s="15">
        <v>45644</v>
      </c>
      <c r="C79" s="66" t="s">
        <v>85</v>
      </c>
      <c r="D79" s="19"/>
      <c r="E79" s="19">
        <v>2699</v>
      </c>
      <c r="F79" s="19">
        <f>=IF(F78&lt;&gt;"NA",F78+D79+E79,"NA")</f>
      </c>
      <c r="G79" s="45" t="s">
        <v>7</v>
      </c>
    </row>
    <row r="80">
      <c r="A80" s="13">
        <v>45644</v>
      </c>
      <c r="B80" s="16">
        <v>45644</v>
      </c>
      <c r="C80" s="57" t="s">
        <v>28</v>
      </c>
      <c r="D80" s="18">
        <v>-769.99</v>
      </c>
      <c r="E80" s="18"/>
      <c r="F80" s="18">
        <f>=IF(F79&lt;&gt;"NA",F79+D80+E80,"NA")</f>
      </c>
      <c r="G80" s="44" t="s">
        <v>7</v>
      </c>
    </row>
    <row r="81">
      <c r="A81" s="11">
        <v>45644</v>
      </c>
      <c r="B81" s="15">
        <v>45644</v>
      </c>
      <c r="C81" s="66" t="s">
        <v>86</v>
      </c>
      <c r="D81" s="19">
        <v>-9.99</v>
      </c>
      <c r="E81" s="19"/>
      <c r="F81" s="19">
        <f>=IF(F80&lt;&gt;"NA",F80+D81+E81,"NA")</f>
      </c>
      <c r="G81" s="45" t="s">
        <v>7</v>
      </c>
    </row>
    <row r="82">
      <c r="A82" s="13">
        <v>45645</v>
      </c>
      <c r="B82" s="16">
        <v>45645</v>
      </c>
      <c r="C82" s="57" t="s">
        <v>87</v>
      </c>
      <c r="D82" s="18">
        <v>-2366.2</v>
      </c>
      <c r="E82" s="18"/>
      <c r="F82" s="18">
        <f>=IF(F81&lt;&gt;"NA",F81+D82+E82,"NA")</f>
      </c>
      <c r="G82" s="44" t="s">
        <v>7</v>
      </c>
    </row>
    <row r="83">
      <c r="A83" s="11">
        <v>45645</v>
      </c>
      <c r="B83" s="15">
        <v>45645</v>
      </c>
      <c r="C83" s="66" t="s">
        <v>88</v>
      </c>
      <c r="D83" s="19"/>
      <c r="E83" s="19">
        <v>9.82</v>
      </c>
      <c r="F83" s="19">
        <f>=IF(F82&lt;&gt;"NA",F82+D83+E83,"NA")</f>
      </c>
      <c r="G83" s="45" t="s">
        <v>7</v>
      </c>
    </row>
    <row r="84">
      <c r="A84" s="13">
        <v>45646</v>
      </c>
      <c r="B84" s="16">
        <v>45646</v>
      </c>
      <c r="C84" s="57" t="s">
        <v>89</v>
      </c>
      <c r="D84" s="18"/>
      <c r="E84" s="18">
        <v>24.66</v>
      </c>
      <c r="F84" s="18">
        <f>=IF(F83&lt;&gt;"NA",F83+D84+E84,"NA")</f>
      </c>
      <c r="G84" s="44" t="s">
        <v>7</v>
      </c>
    </row>
    <row r="85">
      <c r="A85" s="11">
        <v>45646</v>
      </c>
      <c r="B85" s="15">
        <v>45646</v>
      </c>
      <c r="C85" s="66" t="s">
        <v>90</v>
      </c>
      <c r="D85" s="19"/>
      <c r="E85" s="19">
        <v>349.75</v>
      </c>
      <c r="F85" s="19">
        <f>=IF(F84&lt;&gt;"NA",F84+D85+E85,"NA")</f>
      </c>
      <c r="G85" s="45" t="s">
        <v>7</v>
      </c>
    </row>
    <row r="86">
      <c r="A86" s="13">
        <v>45649</v>
      </c>
      <c r="B86" s="16">
        <v>45649</v>
      </c>
      <c r="C86" s="57" t="s">
        <v>91</v>
      </c>
      <c r="D86" s="18"/>
      <c r="E86" s="18">
        <v>98.23</v>
      </c>
      <c r="F86" s="18">
        <f>=IF(F85&lt;&gt;"NA",F85+D86+E86,"NA")</f>
      </c>
      <c r="G86" s="44" t="s">
        <v>7</v>
      </c>
    </row>
    <row r="87">
      <c r="A87" s="11">
        <v>45649</v>
      </c>
      <c r="B87" s="15">
        <v>45649</v>
      </c>
      <c r="C87" s="66" t="s">
        <v>92</v>
      </c>
      <c r="D87" s="19">
        <v>-16.79</v>
      </c>
      <c r="E87" s="19"/>
      <c r="F87" s="19">
        <f>=IF(F86&lt;&gt;"NA",F86+D87+E87,"NA")</f>
      </c>
      <c r="G87" s="45" t="s">
        <v>7</v>
      </c>
    </row>
    <row r="88">
      <c r="A88" s="13">
        <v>45650</v>
      </c>
      <c r="B88" s="16">
        <v>45650</v>
      </c>
      <c r="C88" s="57" t="s">
        <v>93</v>
      </c>
      <c r="D88" s="18">
        <v>-237.48</v>
      </c>
      <c r="E88" s="18"/>
      <c r="F88" s="18">
        <f>=IF(F87&lt;&gt;"NA",F87+D88+E88,"NA")</f>
      </c>
      <c r="G88" s="44" t="s">
        <v>7</v>
      </c>
    </row>
    <row r="89">
      <c r="A89" s="11">
        <v>45653</v>
      </c>
      <c r="B89" s="15">
        <v>45653</v>
      </c>
      <c r="C89" s="66" t="s">
        <v>94</v>
      </c>
      <c r="D89" s="19"/>
      <c r="E89" s="19">
        <v>58.95</v>
      </c>
      <c r="F89" s="19">
        <f>=IF(F88&lt;&gt;"NA",F88+D89+E89,"NA")</f>
      </c>
      <c r="G89" s="45" t="s">
        <v>7</v>
      </c>
    </row>
    <row r="90">
      <c r="A90" s="13">
        <v>45656</v>
      </c>
      <c r="B90" s="16">
        <v>45656</v>
      </c>
      <c r="C90" s="57" t="s">
        <v>95</v>
      </c>
      <c r="D90" s="18">
        <v>-681</v>
      </c>
      <c r="E90" s="18"/>
      <c r="F90" s="18">
        <f>=IF(F89&lt;&gt;"NA",F89+D90+E90,"NA")</f>
      </c>
      <c r="G90" s="44" t="s">
        <v>7</v>
      </c>
    </row>
    <row r="91">
      <c r="A91" s="11">
        <v>45657</v>
      </c>
      <c r="B91" s="15">
        <v>45657</v>
      </c>
      <c r="C91" s="66" t="s">
        <v>18</v>
      </c>
      <c r="D91" s="19">
        <v>-361.2</v>
      </c>
      <c r="E91" s="19"/>
      <c r="F91" s="19">
        <f>=IF(F90&lt;&gt;"NA",F90+D91+E91,"NA")</f>
      </c>
      <c r="G91" s="45" t="s">
        <v>7</v>
      </c>
    </row>
    <row r="92">
      <c r="A92" s="13">
        <v>45658</v>
      </c>
      <c r="B92" s="16">
        <v>45658</v>
      </c>
      <c r="C92" s="57" t="s">
        <v>96</v>
      </c>
      <c r="D92" s="18"/>
      <c r="E92" s="18">
        <v>95.26</v>
      </c>
      <c r="F92" s="18">
        <f>=IF(F91&lt;&gt;"NA",F91+D92+E92,"NA")</f>
      </c>
      <c r="G92" s="44" t="s">
        <v>7</v>
      </c>
    </row>
    <row r="93">
      <c r="A93" s="11">
        <v>45659</v>
      </c>
      <c r="B93" s="15">
        <v>45659</v>
      </c>
      <c r="C93" s="66" t="s">
        <v>97</v>
      </c>
      <c r="D93" s="19"/>
      <c r="E93" s="19">
        <v>1000</v>
      </c>
      <c r="F93" s="19">
        <f>=IF(F92&lt;&gt;"NA",F92+D93+E93,"NA")</f>
      </c>
      <c r="G93" s="45" t="s">
        <v>7</v>
      </c>
    </row>
    <row r="94">
      <c r="A94" s="13">
        <v>45660</v>
      </c>
      <c r="B94" s="16">
        <v>45660</v>
      </c>
      <c r="C94" s="57" t="s">
        <v>98</v>
      </c>
      <c r="D94" s="18">
        <v>-136.89</v>
      </c>
      <c r="E94" s="18"/>
      <c r="F94" s="18">
        <f>=IF(F93&lt;&gt;"NA",F93+D94+E94,"NA")</f>
      </c>
      <c r="G94" s="44" t="s">
        <v>7</v>
      </c>
    </row>
    <row r="95">
      <c r="A95" s="11">
        <v>45663</v>
      </c>
      <c r="B95" s="15">
        <v>45663</v>
      </c>
      <c r="C95" s="66" t="s">
        <v>99</v>
      </c>
      <c r="D95" s="19">
        <v>-23.17</v>
      </c>
      <c r="E95" s="19"/>
      <c r="F95" s="19">
        <f>=IF(F94&lt;&gt;"NA",F94+D95+E95,"NA")</f>
      </c>
      <c r="G95" s="45" t="s">
        <v>7</v>
      </c>
    </row>
    <row r="96">
      <c r="A96" s="13">
        <v>45663</v>
      </c>
      <c r="B96" s="16">
        <v>45663</v>
      </c>
      <c r="C96" s="57" t="s">
        <v>100</v>
      </c>
      <c r="D96" s="18">
        <v>-69.07</v>
      </c>
      <c r="E96" s="18"/>
      <c r="F96" s="18">
        <f>=IF(F95&lt;&gt;"NA",F95+D96+E96,"NA")</f>
      </c>
      <c r="G96" s="44" t="s">
        <v>7</v>
      </c>
    </row>
    <row r="97">
      <c r="A97" s="11">
        <v>45663</v>
      </c>
      <c r="B97" s="15">
        <v>45663</v>
      </c>
      <c r="C97" s="66" t="s">
        <v>101</v>
      </c>
      <c r="D97" s="19">
        <v>-81.05</v>
      </c>
      <c r="E97" s="19"/>
      <c r="F97" s="19">
        <f>=IF(F96&lt;&gt;"NA",F96+D97+E97,"NA")</f>
      </c>
      <c r="G97" s="45" t="s">
        <v>7</v>
      </c>
    </row>
    <row r="98">
      <c r="A98" s="13">
        <v>45663</v>
      </c>
      <c r="B98" s="16">
        <v>45663</v>
      </c>
      <c r="C98" s="57" t="s">
        <v>102</v>
      </c>
      <c r="D98" s="18">
        <v>-19.97</v>
      </c>
      <c r="E98" s="18"/>
      <c r="F98" s="18">
        <f>=IF(F97&lt;&gt;"NA",F97+D98+E98,"NA")</f>
      </c>
      <c r="G98" s="44" t="s">
        <v>7</v>
      </c>
    </row>
    <row r="99">
      <c r="A99" s="11">
        <v>45665</v>
      </c>
      <c r="B99" s="15">
        <v>45665</v>
      </c>
      <c r="C99" s="66" t="s">
        <v>31</v>
      </c>
      <c r="D99" s="19">
        <v>-97.56</v>
      </c>
      <c r="E99" s="19"/>
      <c r="F99" s="19">
        <f>=IF(F98&lt;&gt;"NA",F98+D99+E99,"NA")</f>
      </c>
      <c r="G99" s="45" t="s">
        <v>7</v>
      </c>
    </row>
    <row r="100">
      <c r="A100" s="13">
        <v>45665</v>
      </c>
      <c r="B100" s="16">
        <v>45665</v>
      </c>
      <c r="C100" s="57" t="s">
        <v>103</v>
      </c>
      <c r="D100" s="18"/>
      <c r="E100" s="18">
        <v>7.86</v>
      </c>
      <c r="F100" s="18">
        <f>=IF(F99&lt;&gt;"NA",F99+D100+E100,"NA")</f>
      </c>
      <c r="G100" s="44" t="s">
        <v>7</v>
      </c>
    </row>
    <row r="101">
      <c r="A101" s="11">
        <v>45665</v>
      </c>
      <c r="B101" s="15">
        <v>45665</v>
      </c>
      <c r="C101" s="66" t="s">
        <v>104</v>
      </c>
      <c r="D101" s="19">
        <v>-500</v>
      </c>
      <c r="E101" s="19"/>
      <c r="F101" s="19">
        <f>=IF(F100&lt;&gt;"NA",F100+D101+E101,"NA")</f>
      </c>
      <c r="G101" s="45" t="s">
        <v>7</v>
      </c>
    </row>
    <row r="102">
      <c r="A102" s="13">
        <v>45666</v>
      </c>
      <c r="B102" s="16">
        <v>45666</v>
      </c>
      <c r="C102" s="57" t="s">
        <v>36</v>
      </c>
      <c r="D102" s="18">
        <v>-30.99</v>
      </c>
      <c r="E102" s="18"/>
      <c r="F102" s="18">
        <f>=IF(F101&lt;&gt;"NA",F101+D102+E102,"NA")</f>
      </c>
      <c r="G102" s="44" t="s">
        <v>7</v>
      </c>
    </row>
    <row r="103">
      <c r="A103" s="11">
        <v>45666</v>
      </c>
      <c r="B103" s="15">
        <v>45666</v>
      </c>
      <c r="C103" s="66" t="s">
        <v>105</v>
      </c>
      <c r="D103" s="19">
        <v>-12.47</v>
      </c>
      <c r="E103" s="19"/>
      <c r="F103" s="19">
        <f>=IF(F102&lt;&gt;"NA",F102+D103+E103,"NA")</f>
      </c>
      <c r="G103" s="45" t="s">
        <v>7</v>
      </c>
    </row>
    <row r="104">
      <c r="A104" s="13">
        <v>45667</v>
      </c>
      <c r="B104" s="16">
        <v>45658</v>
      </c>
      <c r="C104" s="57" t="s">
        <v>106</v>
      </c>
      <c r="D104" s="18">
        <v>-40.13</v>
      </c>
      <c r="E104" s="18"/>
      <c r="F104" s="18">
        <f>=IF(F103&lt;&gt;"NA",F103+D104+E104,"NA")</f>
      </c>
      <c r="G104" s="44" t="s">
        <v>7</v>
      </c>
    </row>
    <row r="105">
      <c r="A105" s="11">
        <v>45667</v>
      </c>
      <c r="B105" s="15">
        <v>45667</v>
      </c>
      <c r="C105" s="66" t="s">
        <v>107</v>
      </c>
      <c r="D105" s="19">
        <v>-51.38</v>
      </c>
      <c r="E105" s="19"/>
      <c r="F105" s="19">
        <f>=IF(F104&lt;&gt;"NA",F104+D105+E105,"NA")</f>
      </c>
      <c r="G105" s="45" t="s">
        <v>7</v>
      </c>
    </row>
    <row r="106">
      <c r="A106" s="13">
        <v>45667</v>
      </c>
      <c r="B106" s="16">
        <v>45667</v>
      </c>
      <c r="C106" s="57" t="s">
        <v>108</v>
      </c>
      <c r="D106" s="18"/>
      <c r="E106" s="18">
        <v>600</v>
      </c>
      <c r="F106" s="18">
        <f>=IF(F105&lt;&gt;"NA",F105+D106+E106,"NA")</f>
      </c>
      <c r="G106" s="44" t="s">
        <v>7</v>
      </c>
    </row>
    <row r="107">
      <c r="A107" s="11">
        <v>45667</v>
      </c>
      <c r="B107" s="15">
        <v>45667</v>
      </c>
      <c r="C107" s="66" t="s">
        <v>109</v>
      </c>
      <c r="D107" s="19"/>
      <c r="E107" s="19">
        <v>90</v>
      </c>
      <c r="F107" s="19">
        <f>=IF(F106&lt;&gt;"NA",F106+D107+E107,"NA")</f>
      </c>
      <c r="G107" s="45" t="s">
        <v>7</v>
      </c>
    </row>
    <row r="108">
      <c r="A108" s="13">
        <v>45667</v>
      </c>
      <c r="B108" s="16">
        <v>45667</v>
      </c>
      <c r="C108" s="57" t="s">
        <v>110</v>
      </c>
      <c r="D108" s="18">
        <v>-772.51</v>
      </c>
      <c r="E108" s="18"/>
      <c r="F108" s="18">
        <f>=IF(F107&lt;&gt;"NA",F107+D108+E108,"NA")</f>
      </c>
      <c r="G108" s="44" t="s">
        <v>7</v>
      </c>
    </row>
    <row r="109">
      <c r="A109" s="11">
        <v>45670</v>
      </c>
      <c r="B109" s="15">
        <v>45670</v>
      </c>
      <c r="C109" s="66" t="s">
        <v>111</v>
      </c>
      <c r="D109" s="19"/>
      <c r="E109" s="19">
        <v>282.17</v>
      </c>
      <c r="F109" s="19">
        <f>=IF(F108&lt;&gt;"NA",F108+D109+E109,"NA")</f>
      </c>
      <c r="G109" s="45" t="s">
        <v>7</v>
      </c>
    </row>
    <row r="110">
      <c r="A110" s="13">
        <v>45670</v>
      </c>
      <c r="B110" s="16">
        <v>45670</v>
      </c>
      <c r="C110" s="57" t="s">
        <v>112</v>
      </c>
      <c r="D110" s="18">
        <v>-144.06</v>
      </c>
      <c r="E110" s="18"/>
      <c r="F110" s="18">
        <f>=IF(F109&lt;&gt;"NA",F109+D110+E110,"NA")</f>
      </c>
      <c r="G110" s="44" t="s">
        <v>7</v>
      </c>
    </row>
    <row r="111">
      <c r="A111" s="11">
        <v>45672</v>
      </c>
      <c r="B111" s="15">
        <v>45672</v>
      </c>
      <c r="C111" s="66" t="s">
        <v>113</v>
      </c>
      <c r="D111" s="19">
        <v>-76.27</v>
      </c>
      <c r="E111" s="19"/>
      <c r="F111" s="19">
        <f>=IF(F110&lt;&gt;"NA",F110+D111+E111,"NA")</f>
      </c>
      <c r="G111" s="45" t="s">
        <v>7</v>
      </c>
    </row>
    <row r="112">
      <c r="A112" s="13">
        <v>45673</v>
      </c>
      <c r="B112" s="16">
        <v>45673</v>
      </c>
      <c r="C112" s="57" t="s">
        <v>114</v>
      </c>
      <c r="D112" s="18">
        <v>-23</v>
      </c>
      <c r="E112" s="18"/>
      <c r="F112" s="18">
        <f>=IF(F111&lt;&gt;"NA",F111+D112+E112,"NA")</f>
      </c>
      <c r="G112" s="44" t="s">
        <v>7</v>
      </c>
    </row>
    <row r="113">
      <c r="A113" s="11">
        <v>45673</v>
      </c>
      <c r="B113" s="15">
        <v>45673</v>
      </c>
      <c r="C113" s="66" t="s">
        <v>115</v>
      </c>
      <c r="D113" s="19"/>
      <c r="E113" s="19">
        <v>200</v>
      </c>
      <c r="F113" s="19">
        <f>=IF(F112&lt;&gt;"NA",F112+D113+E113,"NA")</f>
      </c>
      <c r="G113" s="45" t="s">
        <v>7</v>
      </c>
    </row>
    <row r="114">
      <c r="A114" s="13">
        <v>45673</v>
      </c>
      <c r="B114" s="16">
        <v>45673</v>
      </c>
      <c r="C114" s="57" t="s">
        <v>116</v>
      </c>
      <c r="D114" s="18">
        <v>-15.68</v>
      </c>
      <c r="E114" s="18"/>
      <c r="F114" s="18">
        <f>=IF(F113&lt;&gt;"NA",F113+D114+E114,"NA")</f>
      </c>
      <c r="G114" s="44" t="s">
        <v>7</v>
      </c>
    </row>
    <row r="115">
      <c r="A115" s="11">
        <v>45673</v>
      </c>
      <c r="B115" s="15">
        <v>45673</v>
      </c>
      <c r="C115" s="66" t="s">
        <v>117</v>
      </c>
      <c r="D115" s="19"/>
      <c r="E115" s="19">
        <v>184.89</v>
      </c>
      <c r="F115" s="19">
        <f>=IF(F114&lt;&gt;"NA",F114+D115+E115,"NA")</f>
      </c>
      <c r="G115" s="45" t="s">
        <v>7</v>
      </c>
    </row>
    <row r="116">
      <c r="A116" s="13">
        <v>45673</v>
      </c>
      <c r="B116" s="16">
        <v>45673</v>
      </c>
      <c r="C116" s="57" t="s">
        <v>47</v>
      </c>
      <c r="D116" s="18"/>
      <c r="E116" s="18">
        <v>1660</v>
      </c>
      <c r="F116" s="18">
        <f>=IF(F115&lt;&gt;"NA",F115+D116+E116,"NA")</f>
      </c>
      <c r="G116" s="44" t="s">
        <v>7</v>
      </c>
    </row>
    <row r="117">
      <c r="A117" s="11">
        <v>45673</v>
      </c>
      <c r="B117" s="15">
        <v>45673</v>
      </c>
      <c r="C117" s="66" t="s">
        <v>118</v>
      </c>
      <c r="D117" s="19">
        <v>-466.96</v>
      </c>
      <c r="E117" s="19"/>
      <c r="F117" s="19">
        <f>=IF(F116&lt;&gt;"NA",F116+D117+E117,"NA")</f>
      </c>
      <c r="G117" s="45" t="s">
        <v>7</v>
      </c>
    </row>
    <row r="118">
      <c r="A118" s="13">
        <v>45673</v>
      </c>
      <c r="B118" s="16">
        <v>45673</v>
      </c>
      <c r="C118" s="57" t="s">
        <v>29</v>
      </c>
      <c r="D118" s="18">
        <v>-1280</v>
      </c>
      <c r="E118" s="18"/>
      <c r="F118" s="18">
        <f>=IF(F117&lt;&gt;"NA",F117+D118+E118,"NA")</f>
      </c>
      <c r="G118" s="44" t="s">
        <v>7</v>
      </c>
    </row>
    <row r="119">
      <c r="A119" s="11">
        <v>45674</v>
      </c>
      <c r="B119" s="15">
        <v>45674</v>
      </c>
      <c r="C119" s="66" t="s">
        <v>119</v>
      </c>
      <c r="D119" s="19">
        <v>-18.12</v>
      </c>
      <c r="E119" s="19"/>
      <c r="F119" s="19">
        <f>=IF(F118&lt;&gt;"NA",F118+D119+E119,"NA")</f>
      </c>
      <c r="G119" s="45" t="s">
        <v>7</v>
      </c>
    </row>
    <row r="120">
      <c r="A120" s="13">
        <v>45674</v>
      </c>
      <c r="B120" s="16">
        <v>45674</v>
      </c>
      <c r="C120" s="57" t="s">
        <v>120</v>
      </c>
      <c r="D120" s="18">
        <v>-27.79</v>
      </c>
      <c r="E120" s="18"/>
      <c r="F120" s="18">
        <f>=IF(F119&lt;&gt;"NA",F119+D120+E120,"NA")</f>
      </c>
      <c r="G120" s="44" t="s">
        <v>7</v>
      </c>
    </row>
    <row r="121">
      <c r="A121" s="11">
        <v>45674</v>
      </c>
      <c r="B121" s="15">
        <v>45674</v>
      </c>
      <c r="C121" s="66" t="s">
        <v>121</v>
      </c>
      <c r="D121" s="19">
        <v>-25.26</v>
      </c>
      <c r="E121" s="19"/>
      <c r="F121" s="19">
        <f>=IF(F120&lt;&gt;"NA",F120+D121+E121,"NA")</f>
      </c>
      <c r="G121" s="45" t="s">
        <v>7</v>
      </c>
    </row>
    <row r="122">
      <c r="A122" s="13">
        <v>45674</v>
      </c>
      <c r="B122" s="16">
        <v>45674</v>
      </c>
      <c r="C122" s="57" t="s">
        <v>122</v>
      </c>
      <c r="D122" s="18">
        <v>-133.26</v>
      </c>
      <c r="E122" s="18"/>
      <c r="F122" s="18">
        <f>=IF(F121&lt;&gt;"NA",F121+D122+E122,"NA")</f>
      </c>
      <c r="G122" s="44" t="s">
        <v>7</v>
      </c>
    </row>
    <row r="123">
      <c r="A123" s="11">
        <v>45677</v>
      </c>
      <c r="B123" s="15">
        <v>45677</v>
      </c>
      <c r="C123" s="66" t="s">
        <v>123</v>
      </c>
      <c r="D123" s="19"/>
      <c r="E123" s="19">
        <v>1300</v>
      </c>
      <c r="F123" s="19">
        <f>=IF(F122&lt;&gt;"NA",F122+D123+E123,"NA")</f>
      </c>
      <c r="G123" s="45" t="s">
        <v>7</v>
      </c>
    </row>
    <row r="124">
      <c r="A124" s="13">
        <v>45677</v>
      </c>
      <c r="B124" s="16">
        <v>45677</v>
      </c>
      <c r="C124" s="57" t="s">
        <v>124</v>
      </c>
      <c r="D124" s="18"/>
      <c r="E124" s="18">
        <v>1000</v>
      </c>
      <c r="F124" s="18">
        <f>=IF(F123&lt;&gt;"NA",F123+D124+E124,"NA")</f>
      </c>
      <c r="G124" s="44" t="s">
        <v>7</v>
      </c>
    </row>
    <row r="125">
      <c r="A125" s="11">
        <v>45677</v>
      </c>
      <c r="B125" s="15">
        <v>45677</v>
      </c>
      <c r="C125" s="66" t="s">
        <v>125</v>
      </c>
      <c r="D125" s="19">
        <v>-9.99</v>
      </c>
      <c r="E125" s="19"/>
      <c r="F125" s="19">
        <f>=IF(F124&lt;&gt;"NA",F124+D125+E125,"NA")</f>
      </c>
      <c r="G125" s="45" t="s">
        <v>7</v>
      </c>
    </row>
    <row r="126">
      <c r="A126" s="13">
        <v>45677</v>
      </c>
      <c r="B126" s="16">
        <v>45677</v>
      </c>
      <c r="C126" s="57" t="s">
        <v>126</v>
      </c>
      <c r="D126" s="18">
        <v>-10.5</v>
      </c>
      <c r="E126" s="18"/>
      <c r="F126" s="18">
        <f>=IF(F125&lt;&gt;"NA",F125+D126+E126,"NA")</f>
      </c>
      <c r="G126" s="44" t="s">
        <v>7</v>
      </c>
    </row>
    <row r="127">
      <c r="A127" s="11">
        <v>45677</v>
      </c>
      <c r="B127" s="15">
        <v>45677</v>
      </c>
      <c r="C127" s="66" t="s">
        <v>127</v>
      </c>
      <c r="D127" s="19">
        <v>-1.22</v>
      </c>
      <c r="E127" s="19"/>
      <c r="F127" s="19">
        <f>=IF(F126&lt;&gt;"NA",F126+D127+E127,"NA")</f>
      </c>
      <c r="G127" s="45" t="s">
        <v>7</v>
      </c>
    </row>
    <row r="128">
      <c r="A128" s="13">
        <v>45677</v>
      </c>
      <c r="B128" s="16">
        <v>45677</v>
      </c>
      <c r="C128" s="57" t="s">
        <v>128</v>
      </c>
      <c r="D128" s="18">
        <v>-30.58</v>
      </c>
      <c r="E128" s="18"/>
      <c r="F128" s="18">
        <f>=IF(F127&lt;&gt;"NA",F127+D128+E128,"NA")</f>
      </c>
      <c r="G128" s="44" t="s">
        <v>7</v>
      </c>
    </row>
    <row r="129">
      <c r="A129" s="11">
        <v>45678</v>
      </c>
      <c r="B129" s="15">
        <v>45665</v>
      </c>
      <c r="C129" s="66" t="s">
        <v>129</v>
      </c>
      <c r="D129" s="19"/>
      <c r="E129" s="19">
        <v>97.56</v>
      </c>
      <c r="F129" s="19">
        <f>=IF(F128&lt;&gt;"NA",F128+D129+E129,"NA")</f>
      </c>
      <c r="G129" s="45" t="s">
        <v>7</v>
      </c>
    </row>
    <row r="130">
      <c r="A130" s="13">
        <v>45678</v>
      </c>
      <c r="B130" s="16">
        <v>45678</v>
      </c>
      <c r="C130" s="57" t="s">
        <v>130</v>
      </c>
      <c r="D130" s="18">
        <v>-1184.75</v>
      </c>
      <c r="E130" s="18"/>
      <c r="F130" s="18">
        <f>=IF(F129&lt;&gt;"NA",F129+D130+E130,"NA")</f>
      </c>
      <c r="G130" s="44" t="s">
        <v>7</v>
      </c>
    </row>
    <row r="131">
      <c r="A131" s="11">
        <v>45678</v>
      </c>
      <c r="B131" s="15">
        <v>45678</v>
      </c>
      <c r="C131" s="66" t="s">
        <v>131</v>
      </c>
      <c r="D131" s="19"/>
      <c r="E131" s="19">
        <v>0.61</v>
      </c>
      <c r="F131" s="19">
        <f>=IF(F130&lt;&gt;"NA",F130+D131+E131,"NA")</f>
      </c>
      <c r="G131" s="45" t="s">
        <v>7</v>
      </c>
    </row>
    <row r="132">
      <c r="A132" s="13">
        <v>45678</v>
      </c>
      <c r="B132" s="16">
        <v>45677</v>
      </c>
      <c r="C132" s="57" t="s">
        <v>132</v>
      </c>
      <c r="D132" s="18"/>
      <c r="E132" s="18">
        <v>9.67</v>
      </c>
      <c r="F132" s="18">
        <f>=IF(F131&lt;&gt;"NA",F131+D132+E132,"NA")</f>
      </c>
      <c r="G132" s="44" t="s">
        <v>7</v>
      </c>
    </row>
    <row r="133">
      <c r="A133" s="11">
        <v>45679</v>
      </c>
      <c r="B133" s="15">
        <v>45679</v>
      </c>
      <c r="C133" s="66" t="s">
        <v>133</v>
      </c>
      <c r="D133" s="19"/>
      <c r="E133" s="19">
        <v>25.82</v>
      </c>
      <c r="F133" s="19">
        <f>=IF(F132&lt;&gt;"NA",F132+D133+E133,"NA")</f>
      </c>
      <c r="G133" s="45" t="s">
        <v>7</v>
      </c>
    </row>
    <row r="134">
      <c r="A134" s="13">
        <v>45679</v>
      </c>
      <c r="B134" s="16">
        <v>45679</v>
      </c>
      <c r="C134" s="57" t="s">
        <v>134</v>
      </c>
      <c r="D134" s="18"/>
      <c r="E134" s="18">
        <v>24.55</v>
      </c>
      <c r="F134" s="18">
        <f>=IF(F133&lt;&gt;"NA",F133+D134+E134,"NA")</f>
      </c>
      <c r="G134" s="44" t="s">
        <v>7</v>
      </c>
    </row>
    <row r="135">
      <c r="A135" s="11">
        <v>45679</v>
      </c>
      <c r="B135" s="15">
        <v>45679</v>
      </c>
      <c r="C135" s="66" t="s">
        <v>135</v>
      </c>
      <c r="D135" s="19">
        <v>-16.79</v>
      </c>
      <c r="E135" s="19"/>
      <c r="F135" s="19">
        <f>=IF(F134&lt;&gt;"NA",F134+D135+E135,"NA")</f>
      </c>
      <c r="G135" s="45" t="s">
        <v>7</v>
      </c>
    </row>
    <row r="136">
      <c r="A136" s="13">
        <v>45679</v>
      </c>
      <c r="B136" s="16">
        <v>45679</v>
      </c>
      <c r="C136" s="57" t="s">
        <v>136</v>
      </c>
      <c r="D136" s="18">
        <v>-0.41</v>
      </c>
      <c r="E136" s="18"/>
      <c r="F136" s="18">
        <f>=IF(F135&lt;&gt;"NA",F135+D136+E136,"NA")</f>
      </c>
      <c r="G136" s="44" t="s">
        <v>7</v>
      </c>
    </row>
    <row r="137">
      <c r="A137" s="11">
        <v>45679</v>
      </c>
      <c r="B137" s="15">
        <v>45679</v>
      </c>
      <c r="C137" s="66" t="s">
        <v>137</v>
      </c>
      <c r="D137" s="19">
        <v>-2.92</v>
      </c>
      <c r="E137" s="19"/>
      <c r="F137" s="19">
        <f>=IF(F136&lt;&gt;"NA",F136+D137+E137,"NA")</f>
      </c>
      <c r="G137" s="45" t="s">
        <v>7</v>
      </c>
    </row>
    <row r="138">
      <c r="A138" s="13">
        <v>45681</v>
      </c>
      <c r="B138" s="16">
        <v>45681</v>
      </c>
      <c r="C138" s="57" t="s">
        <v>138</v>
      </c>
      <c r="D138" s="18">
        <v>-268.06</v>
      </c>
      <c r="E138" s="18"/>
      <c r="F138" s="18">
        <f>=IF(F137&lt;&gt;"NA",F137+D138+E138,"NA")</f>
      </c>
      <c r="G138" s="44" t="s">
        <v>7</v>
      </c>
    </row>
    <row r="139">
      <c r="A139" s="11">
        <v>45681</v>
      </c>
      <c r="B139" s="15">
        <v>45681</v>
      </c>
      <c r="C139" s="66" t="s">
        <v>139</v>
      </c>
      <c r="D139" s="19">
        <v>-0.99</v>
      </c>
      <c r="E139" s="19"/>
      <c r="F139" s="19">
        <f>=IF(F138&lt;&gt;"NA",F138+D139+E139,"NA")</f>
      </c>
      <c r="G139" s="45" t="s">
        <v>7</v>
      </c>
    </row>
    <row r="140">
      <c r="A140" s="13">
        <v>45681</v>
      </c>
      <c r="B140" s="16">
        <v>45681</v>
      </c>
      <c r="C140" s="57" t="s">
        <v>140</v>
      </c>
      <c r="D140" s="18">
        <v>-283.53</v>
      </c>
      <c r="E140" s="18"/>
      <c r="F140" s="18">
        <f>=IF(F139&lt;&gt;"NA",F139+D140+E140,"NA")</f>
      </c>
      <c r="G140" s="44" t="s">
        <v>7</v>
      </c>
    </row>
    <row r="141">
      <c r="A141" s="11">
        <v>45682</v>
      </c>
      <c r="B141" s="15">
        <v>45682</v>
      </c>
      <c r="C141" s="66" t="s">
        <v>141</v>
      </c>
      <c r="D141" s="19"/>
      <c r="E141" s="19">
        <v>439.06</v>
      </c>
      <c r="F141" s="19">
        <f>=IF(F140&lt;&gt;"NA",F140+D141+E141,"NA")</f>
      </c>
      <c r="G141" s="45" t="s">
        <v>7</v>
      </c>
    </row>
    <row r="142">
      <c r="A142" s="13">
        <v>45684</v>
      </c>
      <c r="B142" s="16">
        <v>45684</v>
      </c>
      <c r="C142" s="57" t="s">
        <v>142</v>
      </c>
      <c r="D142" s="18">
        <v>-54.88</v>
      </c>
      <c r="E142" s="18"/>
      <c r="F142" s="18">
        <f>=IF(F141&lt;&gt;"NA",F141+D142+E142,"NA")</f>
      </c>
      <c r="G142" s="44" t="s">
        <v>7</v>
      </c>
    </row>
    <row r="143">
      <c r="A143" s="11">
        <v>45684</v>
      </c>
      <c r="B143" s="15">
        <v>45684</v>
      </c>
      <c r="C143" s="66" t="s">
        <v>143</v>
      </c>
      <c r="D143" s="19">
        <v>-0.01</v>
      </c>
      <c r="E143" s="19"/>
      <c r="F143" s="19">
        <f>=IF(F142&lt;&gt;"NA",F142+D143+E143,"NA")</f>
      </c>
      <c r="G143" s="45" t="s">
        <v>7</v>
      </c>
    </row>
    <row r="144">
      <c r="A144" s="13">
        <v>45684</v>
      </c>
      <c r="B144" s="16">
        <v>45684</v>
      </c>
      <c r="C144" s="57" t="s">
        <v>144</v>
      </c>
      <c r="D144" s="18">
        <v>-34.58</v>
      </c>
      <c r="E144" s="18"/>
      <c r="F144" s="18">
        <f>=IF(F143&lt;&gt;"NA",F143+D144+E144,"NA")</f>
      </c>
      <c r="G144" s="44" t="s">
        <v>7</v>
      </c>
    </row>
    <row r="145">
      <c r="A145" s="11">
        <v>45684</v>
      </c>
      <c r="B145" s="15">
        <v>45684</v>
      </c>
      <c r="C145" s="66" t="s">
        <v>145</v>
      </c>
      <c r="D145" s="19">
        <v>-171.9</v>
      </c>
      <c r="E145" s="19"/>
      <c r="F145" s="19">
        <f>=IF(F144&lt;&gt;"NA",F144+D145+E145,"NA")</f>
      </c>
      <c r="G145" s="45" t="s">
        <v>7</v>
      </c>
    </row>
    <row r="146">
      <c r="A146" s="13">
        <v>45685</v>
      </c>
      <c r="B146" s="16">
        <v>45685</v>
      </c>
      <c r="C146" s="57" t="s">
        <v>146</v>
      </c>
      <c r="D146" s="18"/>
      <c r="E146" s="18">
        <v>25.82</v>
      </c>
      <c r="F146" s="18">
        <f>=IF(F145&lt;&gt;"NA",F145+D146+E146,"NA")</f>
      </c>
      <c r="G146" s="44" t="s">
        <v>7</v>
      </c>
    </row>
    <row r="147">
      <c r="A147" s="11">
        <v>45685</v>
      </c>
      <c r="B147" s="15">
        <v>45685</v>
      </c>
      <c r="C147" s="66" t="s">
        <v>147</v>
      </c>
      <c r="D147" s="19">
        <v>-8.59</v>
      </c>
      <c r="E147" s="19"/>
      <c r="F147" s="19">
        <f>=IF(F146&lt;&gt;"NA",F146+D147+E147,"NA")</f>
      </c>
      <c r="G147" s="45" t="s">
        <v>7</v>
      </c>
    </row>
    <row r="148">
      <c r="A148" s="13">
        <v>45686</v>
      </c>
      <c r="B148" s="16">
        <v>45686</v>
      </c>
      <c r="C148" s="57" t="s">
        <v>148</v>
      </c>
      <c r="D148" s="18">
        <v>-377</v>
      </c>
      <c r="E148" s="18"/>
      <c r="F148" s="18">
        <f>=IF(F147&lt;&gt;"NA",F147+D148+E148,"NA")</f>
      </c>
      <c r="G148" s="44" t="s">
        <v>7</v>
      </c>
    </row>
    <row r="149">
      <c r="A149" s="11">
        <v>45687</v>
      </c>
      <c r="B149" s="15">
        <v>45687</v>
      </c>
      <c r="C149" s="66" t="s">
        <v>149</v>
      </c>
      <c r="D149" s="19">
        <v>-71.06</v>
      </c>
      <c r="E149" s="19"/>
      <c r="F149" s="19">
        <f>=IF(F148&lt;&gt;"NA",F148+D149+E149,"NA")</f>
      </c>
      <c r="G149" s="45" t="s">
        <v>7</v>
      </c>
    </row>
    <row r="150">
      <c r="A150" s="13">
        <v>45687</v>
      </c>
      <c r="B150" s="16">
        <v>45687</v>
      </c>
      <c r="C150" s="57" t="s">
        <v>150</v>
      </c>
      <c r="D150" s="18">
        <v>-5.25</v>
      </c>
      <c r="E150" s="18"/>
      <c r="F150" s="18">
        <f>=IF(F149&lt;&gt;"NA",F149+D150+E150,"NA")</f>
      </c>
      <c r="G150" s="44" t="s">
        <v>7</v>
      </c>
    </row>
    <row r="151">
      <c r="A151" s="11">
        <v>45688</v>
      </c>
      <c r="B151" s="15">
        <v>45688</v>
      </c>
      <c r="C151" s="66" t="s">
        <v>151</v>
      </c>
      <c r="D151" s="19"/>
      <c r="E151" s="19">
        <v>323.8</v>
      </c>
      <c r="F151" s="19">
        <f>=IF(F150&lt;&gt;"NA",F150+D151+E151,"NA")</f>
      </c>
      <c r="G151" s="45" t="s">
        <v>7</v>
      </c>
    </row>
    <row r="152">
      <c r="A152" s="13">
        <v>45688</v>
      </c>
      <c r="B152" s="16">
        <v>45688</v>
      </c>
      <c r="C152" s="57" t="s">
        <v>18</v>
      </c>
      <c r="D152" s="18">
        <v>-325.2</v>
      </c>
      <c r="E152" s="18"/>
      <c r="F152" s="18">
        <f>=IF(F151&lt;&gt;"NA",F151+D152+E152,"NA")</f>
      </c>
      <c r="G152" s="44" t="s">
        <v>7</v>
      </c>
    </row>
    <row r="153">
      <c r="A153" s="11">
        <v>45689</v>
      </c>
      <c r="B153" s="15">
        <v>45689</v>
      </c>
      <c r="C153" s="66" t="s">
        <v>152</v>
      </c>
      <c r="D153" s="19"/>
      <c r="E153" s="19">
        <v>315.7</v>
      </c>
      <c r="F153" s="19">
        <f>=IF(F152&lt;&gt;"NA",F152+D153+E153,"NA")</f>
      </c>
      <c r="G153" s="45" t="s">
        <v>7</v>
      </c>
    </row>
    <row r="154">
      <c r="A154" s="13">
        <v>45692</v>
      </c>
      <c r="B154" s="16">
        <v>45692</v>
      </c>
      <c r="C154" s="57" t="s">
        <v>153</v>
      </c>
      <c r="D154" s="18">
        <v>-142.72</v>
      </c>
      <c r="E154" s="18"/>
      <c r="F154" s="18">
        <f>=IF(F153&lt;&gt;"NA",F153+D154+E154,"NA")</f>
      </c>
      <c r="G154" s="44" t="s">
        <v>7</v>
      </c>
    </row>
    <row r="155">
      <c r="A155" s="11">
        <v>45692</v>
      </c>
      <c r="B155" s="15">
        <v>45692</v>
      </c>
      <c r="C155" s="66" t="s">
        <v>154</v>
      </c>
      <c r="D155" s="19">
        <v>-38.19</v>
      </c>
      <c r="E155" s="19"/>
      <c r="F155" s="19">
        <f>=IF(F154&lt;&gt;"NA",F154+D155+E155,"NA")</f>
      </c>
      <c r="G155" s="45" t="s">
        <v>7</v>
      </c>
    </row>
    <row r="156">
      <c r="A156" s="13">
        <v>45692</v>
      </c>
      <c r="B156" s="16">
        <v>45692</v>
      </c>
      <c r="C156" s="57" t="s">
        <v>155</v>
      </c>
      <c r="D156" s="18">
        <v>-1.49</v>
      </c>
      <c r="E156" s="18"/>
      <c r="F156" s="18">
        <f>=IF(F155&lt;&gt;"NA",F155+D156+E156,"NA")</f>
      </c>
      <c r="G156" s="44" t="s">
        <v>7</v>
      </c>
    </row>
    <row r="157">
      <c r="A157" s="11">
        <v>45693</v>
      </c>
      <c r="B157" s="15">
        <v>45693</v>
      </c>
      <c r="C157" s="66" t="s">
        <v>156</v>
      </c>
      <c r="D157" s="19">
        <v>-23.17</v>
      </c>
      <c r="E157" s="19"/>
      <c r="F157" s="19">
        <f>=IF(F156&lt;&gt;"NA",F156+D157+E157,"NA")</f>
      </c>
      <c r="G157" s="45" t="s">
        <v>7</v>
      </c>
    </row>
    <row r="158">
      <c r="A158" s="13">
        <v>45693</v>
      </c>
      <c r="B158" s="16">
        <v>45693</v>
      </c>
      <c r="C158" s="57" t="s">
        <v>157</v>
      </c>
      <c r="D158" s="18">
        <v>-69.07</v>
      </c>
      <c r="E158" s="18"/>
      <c r="F158" s="18">
        <f>=IF(F157&lt;&gt;"NA",F157+D158+E158,"NA")</f>
      </c>
      <c r="G158" s="44" t="s">
        <v>7</v>
      </c>
    </row>
    <row r="159">
      <c r="A159" s="11">
        <v>45693</v>
      </c>
      <c r="B159" s="15">
        <v>45693</v>
      </c>
      <c r="C159" s="66" t="s">
        <v>158</v>
      </c>
      <c r="D159" s="19">
        <v>-96.62</v>
      </c>
      <c r="E159" s="19"/>
      <c r="F159" s="19">
        <f>=IF(F158&lt;&gt;"NA",F158+D159+E159,"NA")</f>
      </c>
      <c r="G159" s="45" t="s">
        <v>7</v>
      </c>
    </row>
    <row r="160">
      <c r="A160" s="13">
        <v>45693</v>
      </c>
      <c r="B160" s="16">
        <v>45693</v>
      </c>
      <c r="C160" s="57" t="s">
        <v>159</v>
      </c>
      <c r="D160" s="18"/>
      <c r="E160" s="18">
        <v>1500</v>
      </c>
      <c r="F160" s="18">
        <f>=IF(F159&lt;&gt;"NA",F159+D160+E160,"NA")</f>
      </c>
      <c r="G160" s="44" t="s">
        <v>7</v>
      </c>
    </row>
    <row r="161">
      <c r="A161" s="11">
        <v>45693</v>
      </c>
      <c r="B161" s="15">
        <v>45693</v>
      </c>
      <c r="C161" s="66" t="s">
        <v>160</v>
      </c>
      <c r="D161" s="19">
        <v>-12.47</v>
      </c>
      <c r="E161" s="19"/>
      <c r="F161" s="19">
        <f>=IF(F160&lt;&gt;"NA",F160+D161+E161,"NA")</f>
      </c>
      <c r="G161" s="45" t="s">
        <v>7</v>
      </c>
    </row>
    <row r="162">
      <c r="A162" s="13">
        <v>45693</v>
      </c>
      <c r="B162" s="16">
        <v>45693</v>
      </c>
      <c r="C162" s="57" t="s">
        <v>161</v>
      </c>
      <c r="D162" s="18">
        <v>-19.97</v>
      </c>
      <c r="E162" s="18"/>
      <c r="F162" s="18">
        <f>=IF(F161&lt;&gt;"NA",F161+D162+E162,"NA")</f>
      </c>
      <c r="G162" s="44" t="s">
        <v>7</v>
      </c>
    </row>
    <row r="163">
      <c r="A163" s="11">
        <v>45693</v>
      </c>
      <c r="B163" s="15">
        <v>45693</v>
      </c>
      <c r="C163" s="66" t="s">
        <v>162</v>
      </c>
      <c r="D163" s="19"/>
      <c r="E163" s="19">
        <v>350</v>
      </c>
      <c r="F163" s="19">
        <f>=IF(F162&lt;&gt;"NA",F162+D163+E163,"NA")</f>
      </c>
      <c r="G163" s="45" t="s">
        <v>7</v>
      </c>
    </row>
    <row r="164">
      <c r="A164" s="13">
        <v>45694</v>
      </c>
      <c r="B164" s="16">
        <v>45694</v>
      </c>
      <c r="C164" s="57" t="s">
        <v>163</v>
      </c>
      <c r="D164" s="18"/>
      <c r="E164" s="18">
        <v>263.31</v>
      </c>
      <c r="F164" s="18">
        <f>=IF(F163&lt;&gt;"NA",F163+D164+E164,"NA")</f>
      </c>
      <c r="G164" s="44" t="s">
        <v>7</v>
      </c>
    </row>
    <row r="165">
      <c r="A165" s="11">
        <v>45698</v>
      </c>
      <c r="B165" s="15">
        <v>45689</v>
      </c>
      <c r="C165" s="66" t="s">
        <v>164</v>
      </c>
      <c r="D165" s="19">
        <v>-95.55</v>
      </c>
      <c r="E165" s="19"/>
      <c r="F165" s="19">
        <f>=IF(F164&lt;&gt;"NA",F164+D165+E165,"NA")</f>
      </c>
      <c r="G165" s="45" t="s">
        <v>7</v>
      </c>
    </row>
    <row r="166">
      <c r="A166" s="13">
        <v>45698</v>
      </c>
      <c r="B166" s="16">
        <v>45698</v>
      </c>
      <c r="C166" s="57" t="s">
        <v>165</v>
      </c>
      <c r="D166" s="18">
        <v>-51.38</v>
      </c>
      <c r="E166" s="18"/>
      <c r="F166" s="18">
        <f>=IF(F165&lt;&gt;"NA",F165+D166+E166,"NA")</f>
      </c>
      <c r="G166" s="44" t="s">
        <v>7</v>
      </c>
    </row>
    <row r="167">
      <c r="A167" s="11">
        <v>45698</v>
      </c>
      <c r="B167" s="15">
        <v>45698</v>
      </c>
      <c r="C167" s="66" t="s">
        <v>166</v>
      </c>
      <c r="D167" s="19"/>
      <c r="E167" s="19">
        <v>1000</v>
      </c>
      <c r="F167" s="19">
        <f>=IF(F166&lt;&gt;"NA",F166+D167+E167,"NA")</f>
      </c>
      <c r="G167" s="45" t="s">
        <v>7</v>
      </c>
    </row>
    <row r="168">
      <c r="A168" s="13">
        <v>45698</v>
      </c>
      <c r="B168" s="16">
        <v>45698</v>
      </c>
      <c r="C168" s="57" t="s">
        <v>36</v>
      </c>
      <c r="D168" s="18">
        <v>-30.99</v>
      </c>
      <c r="E168" s="18"/>
      <c r="F168" s="18">
        <f>=IF(F167&lt;&gt;"NA",F167+D168+E168,"NA")</f>
      </c>
      <c r="G168" s="44" t="s">
        <v>7</v>
      </c>
    </row>
    <row r="169">
      <c r="A169" s="11">
        <v>45700</v>
      </c>
      <c r="B169" s="15">
        <v>45700</v>
      </c>
      <c r="C169" s="66" t="s">
        <v>167</v>
      </c>
      <c r="D169" s="19">
        <v>-966.96</v>
      </c>
      <c r="E169" s="19"/>
      <c r="F169" s="19">
        <f>=IF(F168&lt;&gt;"NA",F168+D169+E169,"NA")</f>
      </c>
      <c r="G169" s="45" t="s">
        <v>7</v>
      </c>
    </row>
    <row r="170">
      <c r="A170" s="13">
        <v>45700</v>
      </c>
      <c r="B170" s="16">
        <v>45700</v>
      </c>
      <c r="C170" s="57" t="s">
        <v>168</v>
      </c>
      <c r="D170" s="18">
        <v>-931.15</v>
      </c>
      <c r="E170" s="18"/>
      <c r="F170" s="18">
        <f>=IF(F169&lt;&gt;"NA",F169+D170+E170,"NA")</f>
      </c>
      <c r="G170" s="44" t="s">
        <v>7</v>
      </c>
    </row>
    <row r="171">
      <c r="A171" s="11">
        <v>45700</v>
      </c>
      <c r="B171" s="15">
        <v>45700</v>
      </c>
      <c r="C171" s="66" t="s">
        <v>29</v>
      </c>
      <c r="D171" s="19">
        <v>-1280</v>
      </c>
      <c r="E171" s="19"/>
      <c r="F171" s="19">
        <f>=IF(F170&lt;&gt;"NA",F170+D171+E171,"NA")</f>
      </c>
      <c r="G171" s="45" t="s">
        <v>7</v>
      </c>
    </row>
    <row r="172">
      <c r="A172" s="13">
        <v>45700</v>
      </c>
      <c r="B172" s="16">
        <v>45700</v>
      </c>
      <c r="C172" s="57" t="s">
        <v>169</v>
      </c>
      <c r="D172" s="18">
        <v>-84.04</v>
      </c>
      <c r="E172" s="18"/>
      <c r="F172" s="18">
        <f>=IF(F171&lt;&gt;"NA",F171+D172+E172,"NA")</f>
      </c>
      <c r="G172" s="44" t="s">
        <v>7</v>
      </c>
    </row>
    <row r="173">
      <c r="A173" s="11">
        <v>45700</v>
      </c>
      <c r="B173" s="15">
        <v>45700</v>
      </c>
      <c r="C173" s="66" t="s">
        <v>170</v>
      </c>
      <c r="D173" s="19">
        <v>-85.31</v>
      </c>
      <c r="E173" s="19"/>
      <c r="F173" s="19">
        <f>=IF(F172&lt;&gt;"NA",F172+D173+E173,"NA")</f>
      </c>
      <c r="G173" s="45" t="s">
        <v>7</v>
      </c>
    </row>
    <row r="174">
      <c r="A174" s="13">
        <v>45701</v>
      </c>
      <c r="B174" s="16">
        <v>45701</v>
      </c>
      <c r="C174" s="57" t="s">
        <v>171</v>
      </c>
      <c r="D174" s="18">
        <v>-76.27</v>
      </c>
      <c r="E174" s="18"/>
      <c r="F174" s="18">
        <f>=IF(F173&lt;&gt;"NA",F173+D174+E174,"NA")</f>
      </c>
      <c r="G174" s="44" t="s">
        <v>7</v>
      </c>
    </row>
    <row r="175">
      <c r="A175" s="11">
        <v>45701</v>
      </c>
      <c r="B175" s="15">
        <v>45701</v>
      </c>
      <c r="C175" s="66" t="s">
        <v>172</v>
      </c>
      <c r="D175" s="19">
        <v>-168</v>
      </c>
      <c r="E175" s="19"/>
      <c r="F175" s="19">
        <f>=IF(F174&lt;&gt;"NA",F174+D175+E175,"NA")</f>
      </c>
      <c r="G175" s="45" t="s">
        <v>7</v>
      </c>
    </row>
    <row r="176">
      <c r="A176" s="13">
        <v>45701</v>
      </c>
      <c r="B176" s="16">
        <v>45701</v>
      </c>
      <c r="C176" s="57" t="s">
        <v>173</v>
      </c>
      <c r="D176" s="18">
        <v>-19.8</v>
      </c>
      <c r="E176" s="18"/>
      <c r="F176" s="18">
        <f>=IF(F175&lt;&gt;"NA",F175+D176+E176,"NA")</f>
      </c>
      <c r="G176" s="44" t="s">
        <v>7</v>
      </c>
    </row>
    <row r="177">
      <c r="A177" s="11">
        <v>45706</v>
      </c>
      <c r="B177" s="15">
        <v>45706</v>
      </c>
      <c r="C177" s="66" t="s">
        <v>174</v>
      </c>
      <c r="D177" s="19">
        <v>-25</v>
      </c>
      <c r="E177" s="19"/>
      <c r="F177" s="19">
        <f>=IF(F176&lt;&gt;"NA",F176+D177+E177,"NA")</f>
      </c>
      <c r="G177" s="45" t="s">
        <v>7</v>
      </c>
    </row>
    <row r="178">
      <c r="A178" s="13">
        <v>45706</v>
      </c>
      <c r="B178" s="16">
        <v>45706</v>
      </c>
      <c r="C178" s="57" t="s">
        <v>47</v>
      </c>
      <c r="D178" s="18"/>
      <c r="E178" s="18">
        <v>2020</v>
      </c>
      <c r="F178" s="18">
        <f>=IF(F177&lt;&gt;"NA",F177+D178+E178,"NA")</f>
      </c>
      <c r="G178" s="44" t="s">
        <v>7</v>
      </c>
    </row>
    <row r="179">
      <c r="A179" s="11">
        <v>45708</v>
      </c>
      <c r="B179" s="15">
        <v>45708</v>
      </c>
      <c r="C179" s="66" t="s">
        <v>175</v>
      </c>
      <c r="D179" s="19"/>
      <c r="E179" s="19">
        <v>950</v>
      </c>
      <c r="F179" s="19">
        <f>=IF(F178&lt;&gt;"NA",F178+D179+E179,"NA")</f>
      </c>
      <c r="G179" s="45" t="s">
        <v>7</v>
      </c>
    </row>
    <row r="180">
      <c r="A180" s="13">
        <v>45712</v>
      </c>
      <c r="B180" s="16">
        <v>45712</v>
      </c>
      <c r="C180" s="57" t="s">
        <v>176</v>
      </c>
      <c r="D180" s="18">
        <v>-8.32</v>
      </c>
      <c r="E180" s="18"/>
      <c r="F180" s="18">
        <f>=IF(F179&lt;&gt;"NA",F179+D180+E180,"NA")</f>
      </c>
      <c r="G180" s="44" t="s">
        <v>7</v>
      </c>
    </row>
    <row r="181">
      <c r="A181" s="11">
        <v>45712</v>
      </c>
      <c r="B181" s="15">
        <v>45712</v>
      </c>
      <c r="C181" s="66" t="s">
        <v>177</v>
      </c>
      <c r="D181" s="19">
        <v>-9.48</v>
      </c>
      <c r="E181" s="19"/>
      <c r="F181" s="19">
        <f>=IF(F180&lt;&gt;"NA",F180+D181+E181,"NA")</f>
      </c>
      <c r="G181" s="45" t="s">
        <v>7</v>
      </c>
    </row>
    <row r="182">
      <c r="A182" s="13">
        <v>45713</v>
      </c>
      <c r="B182" s="16">
        <v>45713</v>
      </c>
      <c r="C182" s="57" t="s">
        <v>178</v>
      </c>
      <c r="D182" s="18">
        <v>-33.32</v>
      </c>
      <c r="E182" s="18"/>
      <c r="F182" s="18">
        <f>=IF(F181&lt;&gt;"NA",F181+D182+E182,"NA")</f>
      </c>
      <c r="G182" s="44" t="s">
        <v>7</v>
      </c>
    </row>
    <row r="183">
      <c r="A183" s="11">
        <v>45713</v>
      </c>
      <c r="B183" s="15">
        <v>45713</v>
      </c>
      <c r="C183" s="66" t="s">
        <v>179</v>
      </c>
      <c r="D183" s="19"/>
      <c r="E183" s="19">
        <v>200</v>
      </c>
      <c r="F183" s="19">
        <f>=IF(F182&lt;&gt;"NA",F182+D183+E183,"NA")</f>
      </c>
      <c r="G183" s="45" t="s">
        <v>7</v>
      </c>
    </row>
    <row r="184">
      <c r="A184" s="13">
        <v>45713</v>
      </c>
      <c r="B184" s="16">
        <v>45713</v>
      </c>
      <c r="C184" s="57" t="s">
        <v>180</v>
      </c>
      <c r="D184" s="18">
        <v>-1017.11</v>
      </c>
      <c r="E184" s="18"/>
      <c r="F184" s="18">
        <f>=IF(F183&lt;&gt;"NA",F183+D184+E184,"NA")</f>
      </c>
      <c r="G184" s="44" t="s">
        <v>7</v>
      </c>
    </row>
    <row r="185">
      <c r="A185" s="11">
        <v>45715</v>
      </c>
      <c r="B185" s="15">
        <v>45715</v>
      </c>
      <c r="C185" s="66" t="s">
        <v>181</v>
      </c>
      <c r="D185" s="19">
        <v>-431</v>
      </c>
      <c r="E185" s="19"/>
      <c r="F185" s="19">
        <f>=IF(F184&lt;&gt;"NA",F184+D185+E185,"NA")</f>
      </c>
      <c r="G185" s="45" t="s">
        <v>7</v>
      </c>
    </row>
    <row r="186">
      <c r="A186" s="13">
        <v>45719</v>
      </c>
      <c r="B186" s="16">
        <v>45719</v>
      </c>
      <c r="C186" s="57" t="s">
        <v>182</v>
      </c>
      <c r="D186" s="18">
        <v>-1280</v>
      </c>
      <c r="E186" s="18"/>
      <c r="F186" s="18">
        <f>=IF(F185&lt;&gt;"NA",F185+D186+E186,"NA")</f>
      </c>
      <c r="G186" s="44" t="s">
        <v>7</v>
      </c>
    </row>
    <row r="187">
      <c r="A187" s="11">
        <v>45719</v>
      </c>
      <c r="B187" s="15">
        <v>45719</v>
      </c>
      <c r="C187" s="66" t="s">
        <v>183</v>
      </c>
      <c r="D187" s="19">
        <v>-332.58</v>
      </c>
      <c r="E187" s="19"/>
      <c r="F187" s="19">
        <f>=IF(F186&lt;&gt;"NA",F186+D187+E187,"NA")</f>
      </c>
      <c r="G187" s="45" t="s">
        <v>7</v>
      </c>
    </row>
    <row r="188">
      <c r="A188" s="13">
        <v>45719</v>
      </c>
      <c r="B188" s="16">
        <v>45719</v>
      </c>
      <c r="C188" s="57" t="s">
        <v>173</v>
      </c>
      <c r="D188" s="18">
        <v>-9.9</v>
      </c>
      <c r="E188" s="18"/>
      <c r="F188" s="18">
        <f>=IF(F187&lt;&gt;"NA",F187+D188+E188,"NA")</f>
      </c>
      <c r="G188" s="44" t="s">
        <v>7</v>
      </c>
    </row>
    <row r="189">
      <c r="A189" s="11">
        <v>45720</v>
      </c>
      <c r="B189" s="15">
        <v>45720</v>
      </c>
      <c r="C189" s="66" t="s">
        <v>184</v>
      </c>
      <c r="D189" s="19"/>
      <c r="E189" s="19">
        <v>400</v>
      </c>
      <c r="F189" s="19">
        <f>=IF(F188&lt;&gt;"NA",F188+D189+E189,"NA")</f>
      </c>
      <c r="G189" s="45" t="s">
        <v>7</v>
      </c>
    </row>
    <row r="190">
      <c r="A190" s="13">
        <v>45721</v>
      </c>
      <c r="B190" s="16">
        <v>45721</v>
      </c>
      <c r="C190" s="57" t="s">
        <v>185</v>
      </c>
      <c r="D190" s="18">
        <v>-9.05</v>
      </c>
      <c r="E190" s="18"/>
      <c r="F190" s="18">
        <f>=IF(F189&lt;&gt;"NA",F189+D190+E190,"NA")</f>
      </c>
      <c r="G190" s="44" t="s">
        <v>7</v>
      </c>
    </row>
    <row r="191">
      <c r="A191" s="11">
        <v>45721</v>
      </c>
      <c r="B191" s="15">
        <v>45721</v>
      </c>
      <c r="C191" s="66" t="s">
        <v>186</v>
      </c>
      <c r="D191" s="19">
        <v>-12.82</v>
      </c>
      <c r="E191" s="19"/>
      <c r="F191" s="19">
        <f>=IF(F190&lt;&gt;"NA",F190+D191+E191,"NA")</f>
      </c>
      <c r="G191" s="45" t="s">
        <v>7</v>
      </c>
    </row>
    <row r="192">
      <c r="A192" s="13">
        <v>45721</v>
      </c>
      <c r="B192" s="16">
        <v>45721</v>
      </c>
      <c r="C192" s="57" t="s">
        <v>187</v>
      </c>
      <c r="D192" s="18">
        <v>-23.17</v>
      </c>
      <c r="E192" s="18"/>
      <c r="F192" s="18">
        <f>=IF(F191&lt;&gt;"NA",F191+D192+E192,"NA")</f>
      </c>
      <c r="G192" s="44" t="s">
        <v>7</v>
      </c>
    </row>
    <row r="193">
      <c r="A193" s="11">
        <v>45721</v>
      </c>
      <c r="B193" s="15">
        <v>45721</v>
      </c>
      <c r="C193" s="66" t="s">
        <v>188</v>
      </c>
      <c r="D193" s="19">
        <v>-69.07</v>
      </c>
      <c r="E193" s="19"/>
      <c r="F193" s="19">
        <f>=IF(F192&lt;&gt;"NA",F192+D193+E193,"NA")</f>
      </c>
      <c r="G193" s="45" t="s">
        <v>7</v>
      </c>
    </row>
    <row r="194">
      <c r="A194" s="13">
        <v>45721</v>
      </c>
      <c r="B194" s="16">
        <v>45721</v>
      </c>
      <c r="C194" s="57" t="s">
        <v>189</v>
      </c>
      <c r="D194" s="18">
        <v>-96.62</v>
      </c>
      <c r="E194" s="18"/>
      <c r="F194" s="18">
        <f>=IF(F193&lt;&gt;"NA",F193+D194+E194,"NA")</f>
      </c>
      <c r="G194" s="44" t="s">
        <v>7</v>
      </c>
    </row>
    <row r="195">
      <c r="A195" s="11">
        <v>45721</v>
      </c>
      <c r="B195" s="15">
        <v>45721</v>
      </c>
      <c r="C195" s="66" t="s">
        <v>190</v>
      </c>
      <c r="D195" s="19"/>
      <c r="E195" s="19">
        <v>300</v>
      </c>
      <c r="F195" s="19">
        <f>=IF(F194&lt;&gt;"NA",F194+D195+E195,"NA")</f>
      </c>
      <c r="G195" s="45" t="s">
        <v>7</v>
      </c>
    </row>
    <row r="196">
      <c r="A196" s="13">
        <v>45721</v>
      </c>
      <c r="B196" s="16">
        <v>45721</v>
      </c>
      <c r="C196" s="57" t="s">
        <v>47</v>
      </c>
      <c r="D196" s="18"/>
      <c r="E196" s="18">
        <v>755</v>
      </c>
      <c r="F196" s="18">
        <f>=IF(F195&lt;&gt;"NA",F195+D196+E196,"NA")</f>
      </c>
      <c r="G196" s="44" t="s">
        <v>7</v>
      </c>
    </row>
    <row r="197">
      <c r="A197" s="11">
        <v>45721</v>
      </c>
      <c r="B197" s="15">
        <v>45721</v>
      </c>
      <c r="C197" s="66" t="s">
        <v>191</v>
      </c>
      <c r="D197" s="19">
        <v>-19.97</v>
      </c>
      <c r="E197" s="19"/>
      <c r="F197" s="19">
        <f>=IF(F196&lt;&gt;"NA",F196+D197+E197,"NA")</f>
      </c>
      <c r="G197" s="45" t="s">
        <v>7</v>
      </c>
    </row>
    <row r="198">
      <c r="A198" s="13">
        <v>45722</v>
      </c>
      <c r="B198" s="16">
        <v>45722</v>
      </c>
      <c r="C198" s="57" t="s">
        <v>192</v>
      </c>
      <c r="D198" s="18">
        <v>-140.02</v>
      </c>
      <c r="E198" s="18"/>
      <c r="F198" s="18">
        <f>=IF(F197&lt;&gt;"NA",F197+D198+E198,"NA")</f>
      </c>
      <c r="G198" s="44" t="s">
        <v>7</v>
      </c>
    </row>
    <row r="199">
      <c r="A199" s="11">
        <v>45722</v>
      </c>
      <c r="B199" s="15">
        <v>45722</v>
      </c>
      <c r="C199" s="66" t="s">
        <v>193</v>
      </c>
      <c r="D199" s="19"/>
      <c r="E199" s="19">
        <v>1500</v>
      </c>
      <c r="F199" s="19">
        <f>=IF(F198&lt;&gt;"NA",F198+D199+E199,"NA")</f>
      </c>
      <c r="G199" s="45" t="s">
        <v>7</v>
      </c>
    </row>
    <row r="200">
      <c r="A200" s="13">
        <v>45722</v>
      </c>
      <c r="B200" s="16">
        <v>45722</v>
      </c>
      <c r="C200" s="57" t="s">
        <v>194</v>
      </c>
      <c r="D200" s="18"/>
      <c r="E200" s="18">
        <v>335.81</v>
      </c>
      <c r="F200" s="18">
        <f>=IF(F199&lt;&gt;"NA",F199+D200+E200,"NA")</f>
      </c>
      <c r="G200" s="44" t="s">
        <v>7</v>
      </c>
    </row>
    <row r="201">
      <c r="A201" s="11">
        <v>45723</v>
      </c>
      <c r="B201" s="15">
        <v>45723</v>
      </c>
      <c r="C201" s="66" t="s">
        <v>195</v>
      </c>
      <c r="D201" s="19"/>
      <c r="E201" s="19">
        <v>181.74</v>
      </c>
      <c r="F201" s="19">
        <f>=IF(F200&lt;&gt;"NA",F200+D201+E201,"NA")</f>
      </c>
      <c r="G201" s="45" t="s">
        <v>7</v>
      </c>
    </row>
    <row r="202">
      <c r="A202" s="13">
        <v>45725</v>
      </c>
      <c r="B202" s="16">
        <v>45725</v>
      </c>
      <c r="C202" s="57" t="s">
        <v>196</v>
      </c>
      <c r="D202" s="18"/>
      <c r="E202" s="18">
        <v>739.72</v>
      </c>
      <c r="F202" s="18">
        <f>=IF(F201&lt;&gt;"NA",F201+D202+E202,"NA")</f>
      </c>
      <c r="G202" s="44" t="s">
        <v>7</v>
      </c>
    </row>
    <row r="203">
      <c r="A203" s="11">
        <v>45726</v>
      </c>
      <c r="B203" s="15">
        <v>45717</v>
      </c>
      <c r="C203" s="66" t="s">
        <v>197</v>
      </c>
      <c r="D203" s="19">
        <v>-38.34</v>
      </c>
      <c r="E203" s="19"/>
      <c r="F203" s="19">
        <f>=IF(F202&lt;&gt;"NA",F202+D203+E203,"NA")</f>
      </c>
      <c r="G203" s="45" t="s">
        <v>7</v>
      </c>
    </row>
    <row r="204">
      <c r="A204" s="13">
        <v>45726</v>
      </c>
      <c r="B204" s="16">
        <v>45726</v>
      </c>
      <c r="C204" s="57" t="s">
        <v>198</v>
      </c>
      <c r="D204" s="18">
        <v>-51.38</v>
      </c>
      <c r="E204" s="18"/>
      <c r="F204" s="18">
        <f>=IF(F203&lt;&gt;"NA",F203+D204+E204,"NA")</f>
      </c>
      <c r="G204" s="44" t="s">
        <v>7</v>
      </c>
    </row>
    <row r="205">
      <c r="A205" s="11">
        <v>45726</v>
      </c>
      <c r="B205" s="15">
        <v>45726</v>
      </c>
      <c r="C205" s="66" t="s">
        <v>199</v>
      </c>
      <c r="D205" s="19">
        <v>-913.24</v>
      </c>
      <c r="E205" s="19"/>
      <c r="F205" s="19">
        <f>=IF(F204&lt;&gt;"NA",F204+D205+E205,"NA")</f>
      </c>
      <c r="G205" s="45" t="s">
        <v>7</v>
      </c>
    </row>
    <row r="206">
      <c r="A206" s="13">
        <v>45726</v>
      </c>
      <c r="B206" s="16">
        <v>45726</v>
      </c>
      <c r="C206" s="57" t="s">
        <v>200</v>
      </c>
      <c r="D206" s="18">
        <v>-757.12</v>
      </c>
      <c r="E206" s="18"/>
      <c r="F206" s="18">
        <f>=IF(F205&lt;&gt;"NA",F205+D206+E206,"NA")</f>
      </c>
      <c r="G206" s="44" t="s">
        <v>7</v>
      </c>
    </row>
    <row r="207">
      <c r="A207" s="11">
        <v>45726</v>
      </c>
      <c r="B207" s="15">
        <v>45726</v>
      </c>
      <c r="C207" s="66" t="s">
        <v>201</v>
      </c>
      <c r="D207" s="19">
        <v>-75.95</v>
      </c>
      <c r="E207" s="19"/>
      <c r="F207" s="19">
        <f>=IF(F206&lt;&gt;"NA",F206+D207+E207,"NA")</f>
      </c>
      <c r="G207" s="45" t="s">
        <v>7</v>
      </c>
    </row>
    <row r="208">
      <c r="A208" s="13">
        <v>45726</v>
      </c>
      <c r="B208" s="16">
        <v>45726</v>
      </c>
      <c r="C208" s="57" t="s">
        <v>36</v>
      </c>
      <c r="D208" s="18">
        <v>-31.23</v>
      </c>
      <c r="E208" s="18"/>
      <c r="F208" s="18">
        <f>=IF(F207&lt;&gt;"NA",F207+D208+E208,"NA")</f>
      </c>
      <c r="G208" s="44" t="s">
        <v>7</v>
      </c>
    </row>
    <row r="209">
      <c r="A209" s="11">
        <v>45726</v>
      </c>
      <c r="B209" s="15">
        <v>45726</v>
      </c>
      <c r="C209" s="66" t="s">
        <v>202</v>
      </c>
      <c r="D209" s="19">
        <v>-12.47</v>
      </c>
      <c r="E209" s="19"/>
      <c r="F209" s="19">
        <f>=IF(F208&lt;&gt;"NA",F208+D209+E209,"NA")</f>
      </c>
      <c r="G209" s="45" t="s">
        <v>7</v>
      </c>
    </row>
    <row r="210">
      <c r="A210" s="13">
        <v>45726</v>
      </c>
      <c r="B210" s="16">
        <v>45726</v>
      </c>
      <c r="C210" s="57" t="s">
        <v>203</v>
      </c>
      <c r="D210" s="18">
        <v>-143.88</v>
      </c>
      <c r="E210" s="18"/>
      <c r="F210" s="18">
        <f>=IF(F209&lt;&gt;"NA",F209+D210+E210,"NA")</f>
      </c>
      <c r="G210" s="44" t="s">
        <v>7</v>
      </c>
    </row>
    <row r="211">
      <c r="A211" s="11">
        <v>45728</v>
      </c>
      <c r="B211" s="15">
        <v>45728</v>
      </c>
      <c r="C211" s="66" t="s">
        <v>204</v>
      </c>
      <c r="D211" s="19">
        <v>-76.27</v>
      </c>
      <c r="E211" s="19"/>
      <c r="F211" s="19">
        <f>=IF(F210&lt;&gt;"NA",F210+D211+E211,"NA")</f>
      </c>
      <c r="G211" s="45" t="s">
        <v>7</v>
      </c>
    </row>
    <row r="212">
      <c r="A212" s="13">
        <v>45732</v>
      </c>
      <c r="B212" s="16">
        <v>45732</v>
      </c>
      <c r="C212" s="57" t="s">
        <v>205</v>
      </c>
      <c r="D212" s="18"/>
      <c r="E212" s="18">
        <v>300</v>
      </c>
      <c r="F212" s="18">
        <f>=IF(F211&lt;&gt;"NA",F211+D212+E212,"NA")</f>
      </c>
      <c r="G212" s="44" t="s">
        <v>7</v>
      </c>
    </row>
    <row r="213">
      <c r="A213" s="11">
        <v>45733</v>
      </c>
      <c r="B213" s="15">
        <v>45733</v>
      </c>
      <c r="C213" s="66" t="s">
        <v>206</v>
      </c>
      <c r="D213" s="19">
        <v>-8.99</v>
      </c>
      <c r="E213" s="19"/>
      <c r="F213" s="19">
        <f>=IF(F212&lt;&gt;"NA",F212+D213+E213,"NA")</f>
      </c>
      <c r="G213" s="45" t="s">
        <v>7</v>
      </c>
    </row>
    <row r="214">
      <c r="A214" s="13">
        <v>45733</v>
      </c>
      <c r="B214" s="16">
        <v>45733</v>
      </c>
      <c r="C214" s="57" t="s">
        <v>207</v>
      </c>
      <c r="D214" s="18">
        <v>-16.66</v>
      </c>
      <c r="E214" s="18"/>
      <c r="F214" s="18">
        <f>=IF(F213&lt;&gt;"NA",F213+D214+E214,"NA")</f>
      </c>
      <c r="G214" s="44" t="s">
        <v>7</v>
      </c>
    </row>
    <row r="215">
      <c r="A215" s="11">
        <v>45733</v>
      </c>
      <c r="B215" s="15">
        <v>45733</v>
      </c>
      <c r="C215" s="66" t="s">
        <v>207</v>
      </c>
      <c r="D215" s="19">
        <v>-26.52</v>
      </c>
      <c r="E215" s="19"/>
      <c r="F215" s="19">
        <f>=IF(F214&lt;&gt;"NA",F214+D215+E215,"NA")</f>
      </c>
      <c r="G215" s="45" t="s">
        <v>7</v>
      </c>
    </row>
    <row r="216">
      <c r="A216" s="13">
        <v>45733</v>
      </c>
      <c r="B216" s="16">
        <v>45733</v>
      </c>
      <c r="C216" s="57" t="s">
        <v>208</v>
      </c>
      <c r="D216" s="18">
        <v>-106.86</v>
      </c>
      <c r="E216" s="18"/>
      <c r="F216" s="18">
        <f>=IF(F215&lt;&gt;"NA",F215+D216+E216,"NA")</f>
      </c>
      <c r="G216" s="44" t="s">
        <v>7</v>
      </c>
    </row>
    <row r="217">
      <c r="A217" s="11">
        <v>45734</v>
      </c>
      <c r="B217" s="15">
        <v>45734</v>
      </c>
      <c r="C217" s="66" t="s">
        <v>209</v>
      </c>
      <c r="D217" s="19">
        <v>-22</v>
      </c>
      <c r="E217" s="19"/>
      <c r="F217" s="19">
        <f>=IF(F216&lt;&gt;"NA",F216+D217+E217,"NA")</f>
      </c>
      <c r="G217" s="45" t="s">
        <v>7</v>
      </c>
    </row>
    <row r="218">
      <c r="A218" s="13">
        <v>45737</v>
      </c>
      <c r="B218" s="16">
        <v>45737</v>
      </c>
      <c r="C218" s="57" t="s">
        <v>210</v>
      </c>
      <c r="D218" s="18"/>
      <c r="E218" s="18">
        <v>500</v>
      </c>
      <c r="F218" s="18">
        <f>=IF(F217&lt;&gt;"NA",F217+D218+E218,"NA")</f>
      </c>
      <c r="G218" s="44" t="s">
        <v>7</v>
      </c>
    </row>
    <row r="219">
      <c r="A219" s="11">
        <v>45741</v>
      </c>
      <c r="B219" s="15">
        <v>45741</v>
      </c>
      <c r="C219" s="66" t="s">
        <v>211</v>
      </c>
      <c r="D219" s="19"/>
      <c r="E219" s="19">
        <v>12.82</v>
      </c>
      <c r="F219" s="19">
        <f>=IF(F218&lt;&gt;"NA",F218+D219+E219,"NA")</f>
      </c>
      <c r="G219" s="45" t="s">
        <v>7</v>
      </c>
    </row>
    <row r="220">
      <c r="A220" s="13">
        <v>45743</v>
      </c>
      <c r="B220" s="16">
        <v>45743</v>
      </c>
      <c r="C220" s="57" t="s">
        <v>183</v>
      </c>
      <c r="D220" s="18">
        <v>-332.58</v>
      </c>
      <c r="E220" s="18"/>
      <c r="F220" s="18">
        <f>=IF(F219&lt;&gt;"NA",F219+D220+E220,"NA")</f>
      </c>
      <c r="G220" s="44" t="s">
        <v>7</v>
      </c>
    </row>
    <row r="221">
      <c r="A221" s="11">
        <v>45743</v>
      </c>
      <c r="B221" s="15">
        <v>45743</v>
      </c>
      <c r="C221" s="66" t="s">
        <v>212</v>
      </c>
      <c r="D221" s="19">
        <v>-623</v>
      </c>
      <c r="E221" s="19"/>
      <c r="F221" s="19">
        <f>=IF(F220&lt;&gt;"NA",F220+D221+E221,"NA")</f>
      </c>
      <c r="G221" s="45" t="s">
        <v>7</v>
      </c>
    </row>
    <row r="222">
      <c r="A222" s="13">
        <v>45743</v>
      </c>
      <c r="B222" s="16">
        <v>45743</v>
      </c>
      <c r="C222" s="57" t="s">
        <v>213</v>
      </c>
      <c r="D222" s="18"/>
      <c r="E222" s="18">
        <v>16.66</v>
      </c>
      <c r="F222" s="18">
        <f>=IF(F221&lt;&gt;"NA",F221+D222+E222,"NA")</f>
      </c>
      <c r="G222" s="44" t="s">
        <v>7</v>
      </c>
    </row>
    <row r="223">
      <c r="A223" s="11">
        <v>45744</v>
      </c>
      <c r="B223" s="15">
        <v>45744</v>
      </c>
      <c r="C223" s="66" t="s">
        <v>214</v>
      </c>
      <c r="D223" s="19">
        <v>-121.32</v>
      </c>
      <c r="E223" s="19"/>
      <c r="F223" s="19">
        <f>=IF(F222&lt;&gt;"NA",F222+D223+E223,"NA")</f>
      </c>
      <c r="G223" s="45" t="s">
        <v>7</v>
      </c>
    </row>
    <row r="224">
      <c r="A224" s="13">
        <v>45746</v>
      </c>
      <c r="B224" s="16">
        <v>45746</v>
      </c>
      <c r="C224" s="57" t="s">
        <v>215</v>
      </c>
      <c r="D224" s="18"/>
      <c r="E224" s="18">
        <v>434.27</v>
      </c>
      <c r="F224" s="18">
        <f>=IF(F223&lt;&gt;"NA",F223+D224+E224,"NA")</f>
      </c>
      <c r="G224" s="44" t="s">
        <v>7</v>
      </c>
    </row>
    <row r="225">
      <c r="A225" s="11">
        <v>45750</v>
      </c>
      <c r="B225" s="15">
        <v>45750</v>
      </c>
      <c r="C225" s="66" t="s">
        <v>216</v>
      </c>
      <c r="D225" s="19">
        <v>-118.04</v>
      </c>
      <c r="E225" s="19"/>
      <c r="F225" s="19">
        <f>=IF(F224&lt;&gt;"NA",F224+D225+E225,"NA")</f>
      </c>
      <c r="G225" s="45" t="s">
        <v>7</v>
      </c>
    </row>
    <row r="226">
      <c r="A226" s="13">
        <v>45750</v>
      </c>
      <c r="B226" s="16">
        <v>45750</v>
      </c>
      <c r="C226" s="57" t="s">
        <v>217</v>
      </c>
      <c r="D226" s="18">
        <v>-164.74</v>
      </c>
      <c r="E226" s="18"/>
      <c r="F226" s="18">
        <f>=IF(F225&lt;&gt;"NA",F225+D226+E226,"NA")</f>
      </c>
      <c r="G226" s="44" t="s">
        <v>7</v>
      </c>
    </row>
    <row r="227">
      <c r="A227" s="11">
        <v>45751</v>
      </c>
      <c r="B227" s="15">
        <v>45751</v>
      </c>
      <c r="C227" s="66" t="s">
        <v>218</v>
      </c>
      <c r="D227" s="19">
        <v>-69.36</v>
      </c>
      <c r="E227" s="19"/>
      <c r="F227" s="19">
        <f>=IF(F226&lt;&gt;"NA",F226+D227+E227,"NA")</f>
      </c>
      <c r="G227" s="45" t="s">
        <v>7</v>
      </c>
    </row>
    <row r="228">
      <c r="A228" s="13">
        <v>45751</v>
      </c>
      <c r="B228" s="16">
        <v>45751</v>
      </c>
      <c r="C228" s="57" t="s">
        <v>219</v>
      </c>
      <c r="D228" s="18"/>
      <c r="E228" s="18">
        <v>475.75</v>
      </c>
      <c r="F228" s="18">
        <f>=IF(F227&lt;&gt;"NA",F227+D228+E228,"NA")</f>
      </c>
      <c r="G228" s="44" t="s">
        <v>7</v>
      </c>
    </row>
    <row r="229">
      <c r="A229" s="11">
        <v>45754</v>
      </c>
      <c r="B229" s="15">
        <v>45754</v>
      </c>
      <c r="C229" s="66" t="s">
        <v>220</v>
      </c>
      <c r="D229" s="19">
        <v>-23.17</v>
      </c>
      <c r="E229" s="19"/>
      <c r="F229" s="19">
        <f>=IF(F228&lt;&gt;"NA",F228+D229+E229,"NA")</f>
      </c>
      <c r="G229" s="45" t="s">
        <v>7</v>
      </c>
    </row>
    <row r="230">
      <c r="A230" s="13">
        <v>45754</v>
      </c>
      <c r="B230" s="16">
        <v>45754</v>
      </c>
      <c r="C230" s="57" t="s">
        <v>221</v>
      </c>
      <c r="D230" s="18">
        <v>-69.07</v>
      </c>
      <c r="E230" s="18"/>
      <c r="F230" s="18">
        <f>=IF(F229&lt;&gt;"NA",F229+D230+E230,"NA")</f>
      </c>
      <c r="G230" s="44" t="s">
        <v>7</v>
      </c>
    </row>
    <row r="231">
      <c r="A231" s="11">
        <v>45754</v>
      </c>
      <c r="B231" s="15">
        <v>45754</v>
      </c>
      <c r="C231" s="66" t="s">
        <v>222</v>
      </c>
      <c r="D231" s="19">
        <v>-96.62</v>
      </c>
      <c r="E231" s="19"/>
      <c r="F231" s="19">
        <f>=IF(F230&lt;&gt;"NA",F230+D231+E231,"NA")</f>
      </c>
      <c r="G231" s="45" t="s">
        <v>7</v>
      </c>
    </row>
    <row r="232">
      <c r="A232" s="13">
        <v>45754</v>
      </c>
      <c r="B232" s="16">
        <v>45754</v>
      </c>
      <c r="C232" s="57" t="s">
        <v>223</v>
      </c>
      <c r="D232" s="18"/>
      <c r="E232" s="18">
        <v>1500</v>
      </c>
      <c r="F232" s="18">
        <f>=IF(F231&lt;&gt;"NA",F231+D232+E232,"NA")</f>
      </c>
      <c r="G232" s="44" t="s">
        <v>7</v>
      </c>
    </row>
    <row r="233">
      <c r="A233" s="11">
        <v>45754</v>
      </c>
      <c r="B233" s="15">
        <v>45754</v>
      </c>
      <c r="C233" s="66" t="s">
        <v>224</v>
      </c>
      <c r="D233" s="19">
        <v>-12.47</v>
      </c>
      <c r="E233" s="19"/>
      <c r="F233" s="19">
        <f>=IF(F232&lt;&gt;"NA",F232+D233+E233,"NA")</f>
      </c>
      <c r="G233" s="45" t="s">
        <v>7</v>
      </c>
    </row>
    <row r="234">
      <c r="A234" s="13">
        <v>45754</v>
      </c>
      <c r="B234" s="16">
        <v>45754</v>
      </c>
      <c r="C234" s="57" t="s">
        <v>225</v>
      </c>
      <c r="D234" s="18">
        <v>-19.97</v>
      </c>
      <c r="E234" s="18"/>
      <c r="F234" s="18">
        <f>=IF(F233&lt;&gt;"NA",F233+D234+E234,"NA")</f>
      </c>
      <c r="G234" s="44" t="s">
        <v>7</v>
      </c>
    </row>
    <row r="235">
      <c r="A235" s="11">
        <v>45756</v>
      </c>
      <c r="B235" s="15">
        <v>45756</v>
      </c>
      <c r="C235" s="66" t="s">
        <v>36</v>
      </c>
      <c r="D235" s="19">
        <v>-30.99</v>
      </c>
      <c r="E235" s="19"/>
      <c r="F235" s="19">
        <f>=IF(F234&lt;&gt;"NA",F234+D235+E235,"NA")</f>
      </c>
      <c r="G235" s="45" t="s">
        <v>7</v>
      </c>
    </row>
    <row r="236">
      <c r="A236" s="13">
        <v>45756</v>
      </c>
      <c r="B236" s="16">
        <v>45756</v>
      </c>
      <c r="C236" s="57" t="s">
        <v>226</v>
      </c>
      <c r="D236" s="18"/>
      <c r="E236" s="18">
        <v>4.91</v>
      </c>
      <c r="F236" s="18">
        <f>=IF(F235&lt;&gt;"NA",F235+D236+E236,"NA")</f>
      </c>
      <c r="G236" s="44" t="s">
        <v>7</v>
      </c>
    </row>
    <row r="237">
      <c r="A237" s="11">
        <v>45757</v>
      </c>
      <c r="B237" s="15">
        <v>45748</v>
      </c>
      <c r="C237" s="66" t="s">
        <v>227</v>
      </c>
      <c r="D237" s="19">
        <v>-38.55</v>
      </c>
      <c r="E237" s="19"/>
      <c r="F237" s="19">
        <f>=IF(F236&lt;&gt;"NA",F236+D237+E237,"NA")</f>
      </c>
      <c r="G237" s="45" t="s">
        <v>7</v>
      </c>
    </row>
    <row r="238">
      <c r="A238" s="13">
        <v>45757</v>
      </c>
      <c r="B238" s="16">
        <v>45757</v>
      </c>
      <c r="C238" s="57" t="s">
        <v>228</v>
      </c>
      <c r="D238" s="18">
        <v>-51.38</v>
      </c>
      <c r="E238" s="18"/>
      <c r="F238" s="18">
        <f>=IF(F237&lt;&gt;"NA",F237+D238+E238,"NA")</f>
      </c>
      <c r="G238" s="44" t="s">
        <v>7</v>
      </c>
    </row>
    <row r="239">
      <c r="A239" s="11">
        <v>45757</v>
      </c>
      <c r="B239" s="15">
        <v>45757</v>
      </c>
      <c r="C239" s="66" t="s">
        <v>229</v>
      </c>
      <c r="D239" s="19">
        <v>-323.88</v>
      </c>
      <c r="E239" s="19"/>
      <c r="F239" s="19">
        <f>=IF(F238&lt;&gt;"NA",F238+D239+E239,"NA")</f>
      </c>
      <c r="G239" s="45" t="s">
        <v>7</v>
      </c>
    </row>
    <row r="240">
      <c r="A240" s="13">
        <v>45758</v>
      </c>
      <c r="B240" s="16">
        <v>45758</v>
      </c>
      <c r="C240" s="57" t="s">
        <v>230</v>
      </c>
      <c r="D240" s="18">
        <v>-772.38</v>
      </c>
      <c r="E240" s="18"/>
      <c r="F240" s="18">
        <f>=IF(F239&lt;&gt;"NA",F239+D240+E240,"NA")</f>
      </c>
      <c r="G240" s="44" t="s">
        <v>7</v>
      </c>
    </row>
    <row r="241">
      <c r="A241" s="11">
        <v>45758</v>
      </c>
      <c r="B241" s="15">
        <v>45758</v>
      </c>
      <c r="C241" s="66" t="s">
        <v>231</v>
      </c>
      <c r="D241" s="19">
        <v>-738.76</v>
      </c>
      <c r="E241" s="19"/>
      <c r="F241" s="19">
        <f>=IF(F240&lt;&gt;"NA",F240+D241+E241,"NA")</f>
      </c>
      <c r="G241" s="45" t="s">
        <v>7</v>
      </c>
    </row>
    <row r="242">
      <c r="A242" s="13">
        <v>45758</v>
      </c>
      <c r="B242" s="16">
        <v>45758</v>
      </c>
      <c r="C242" s="57" t="s">
        <v>201</v>
      </c>
      <c r="D242" s="18">
        <v>-75.95</v>
      </c>
      <c r="E242" s="18"/>
      <c r="F242" s="18">
        <f>=IF(F241&lt;&gt;"NA",F241+D242+E242,"NA")</f>
      </c>
      <c r="G242" s="44" t="s">
        <v>7</v>
      </c>
    </row>
    <row r="243">
      <c r="A243" s="11">
        <v>45761</v>
      </c>
      <c r="B243" s="15">
        <v>45761</v>
      </c>
      <c r="C243" s="66" t="s">
        <v>232</v>
      </c>
      <c r="D243" s="19">
        <v>-76.27</v>
      </c>
      <c r="E243" s="19"/>
      <c r="F243" s="19">
        <f>=IF(F242&lt;&gt;"NA",F242+D243+E243,"NA")</f>
      </c>
      <c r="G243" s="45" t="s">
        <v>7</v>
      </c>
    </row>
    <row r="244">
      <c r="A244" s="13">
        <v>45761</v>
      </c>
      <c r="B244" s="16">
        <v>45761</v>
      </c>
      <c r="C244" s="57" t="s">
        <v>233</v>
      </c>
      <c r="D244" s="18"/>
      <c r="E244" s="18">
        <v>3255</v>
      </c>
      <c r="F244" s="18">
        <f>=IF(F243&lt;&gt;"NA",F243+D244+E244,"NA")</f>
      </c>
      <c r="G244" s="44" t="s">
        <v>7</v>
      </c>
    </row>
    <row r="245">
      <c r="A245" s="11">
        <v>45761</v>
      </c>
      <c r="B245" s="15">
        <v>45761</v>
      </c>
      <c r="C245" s="66" t="s">
        <v>234</v>
      </c>
      <c r="D245" s="19">
        <v>-1280</v>
      </c>
      <c r="E245" s="19"/>
      <c r="F245" s="19">
        <f>=IF(F244&lt;&gt;"NA",F244+D245+E245,"NA")</f>
      </c>
      <c r="G245" s="45" t="s">
        <v>7</v>
      </c>
    </row>
    <row r="246">
      <c r="A246" s="13">
        <v>45761</v>
      </c>
      <c r="B246" s="16">
        <v>45761</v>
      </c>
      <c r="C246" s="57" t="s">
        <v>235</v>
      </c>
      <c r="D246" s="18">
        <v>-1396.3</v>
      </c>
      <c r="E246" s="18"/>
      <c r="F246" s="18">
        <f>=IF(F245&lt;&gt;"NA",F245+D246+E246,"NA")</f>
      </c>
      <c r="G246" s="44" t="s">
        <v>7</v>
      </c>
    </row>
    <row r="247">
      <c r="A247" s="11">
        <v>45763</v>
      </c>
      <c r="B247" s="15">
        <v>45763</v>
      </c>
      <c r="C247" s="66" t="s">
        <v>236</v>
      </c>
      <c r="D247" s="19">
        <v>-21</v>
      </c>
      <c r="E247" s="19"/>
      <c r="F247" s="19">
        <f>=IF(F246&lt;&gt;"NA",F246+D247+E247,"NA")</f>
      </c>
      <c r="G247" s="45" t="s">
        <v>7</v>
      </c>
    </row>
    <row r="248">
      <c r="A248" s="13">
        <v>45765</v>
      </c>
      <c r="B248" s="16">
        <v>45765</v>
      </c>
      <c r="C248" s="57" t="s">
        <v>237</v>
      </c>
      <c r="D248" s="18">
        <v>-10</v>
      </c>
      <c r="E248" s="18"/>
      <c r="F248" s="18">
        <f>=IF(F247&lt;&gt;"NA",F247+D248+E248,"NA")</f>
      </c>
      <c r="G248" s="44" t="s">
        <v>7</v>
      </c>
    </row>
    <row r="249">
      <c r="A249" s="11">
        <v>45769</v>
      </c>
      <c r="B249" s="15">
        <v>45769</v>
      </c>
      <c r="C249" s="66" t="s">
        <v>238</v>
      </c>
      <c r="D249" s="19">
        <v>-0.61</v>
      </c>
      <c r="E249" s="19"/>
      <c r="F249" s="19">
        <f>=IF(F248&lt;&gt;"NA",F248+D249+E249,"NA")</f>
      </c>
      <c r="G249" s="45" t="s">
        <v>7</v>
      </c>
    </row>
    <row r="250">
      <c r="A250" s="13">
        <v>45769</v>
      </c>
      <c r="B250" s="16">
        <v>45769</v>
      </c>
      <c r="C250" s="57" t="s">
        <v>239</v>
      </c>
      <c r="D250" s="18">
        <v>-9.52</v>
      </c>
      <c r="E250" s="18"/>
      <c r="F250" s="18">
        <f>=IF(F249&lt;&gt;"NA",F249+D250+E250,"NA")</f>
      </c>
      <c r="G250" s="44" t="s">
        <v>7</v>
      </c>
    </row>
    <row r="251">
      <c r="A251" s="11">
        <v>45770</v>
      </c>
      <c r="B251" s="15">
        <v>45770</v>
      </c>
      <c r="C251" s="66" t="s">
        <v>240</v>
      </c>
      <c r="D251" s="19">
        <v>-25.42</v>
      </c>
      <c r="E251" s="19"/>
      <c r="F251" s="19">
        <f>=IF(F250&lt;&gt;"NA",F250+D251+E251,"NA")</f>
      </c>
      <c r="G251" s="45" t="s">
        <v>7</v>
      </c>
    </row>
    <row r="252">
      <c r="A252" s="13">
        <v>45770</v>
      </c>
      <c r="B252" s="16">
        <v>45770</v>
      </c>
      <c r="C252" s="57" t="s">
        <v>241</v>
      </c>
      <c r="D252" s="18">
        <v>-11.99</v>
      </c>
      <c r="E252" s="18"/>
      <c r="F252" s="18">
        <f>=IF(F251&lt;&gt;"NA",F251+D252+E252,"NA")</f>
      </c>
      <c r="G252" s="44" t="s">
        <v>7</v>
      </c>
    </row>
    <row r="253">
      <c r="A253" s="11">
        <v>45771</v>
      </c>
      <c r="B253" s="15">
        <v>45771</v>
      </c>
      <c r="C253" s="66" t="s">
        <v>242</v>
      </c>
      <c r="D253" s="19"/>
      <c r="E253" s="19">
        <v>1000</v>
      </c>
      <c r="F253" s="19">
        <f>=IF(F252&lt;&gt;"NA",F252+D253+E253,"NA")</f>
      </c>
      <c r="G253" s="45" t="s">
        <v>7</v>
      </c>
    </row>
    <row r="254">
      <c r="A254" s="13">
        <v>45772</v>
      </c>
      <c r="B254" s="16">
        <v>45772</v>
      </c>
      <c r="C254" s="57" t="s">
        <v>243</v>
      </c>
      <c r="D254" s="18">
        <v>-932.09</v>
      </c>
      <c r="E254" s="18"/>
      <c r="F254" s="18">
        <f>=IF(F253&lt;&gt;"NA",F253+D254+E254,"NA")</f>
      </c>
      <c r="G254" s="44" t="s">
        <v>7</v>
      </c>
    </row>
    <row r="255">
      <c r="A255" s="11">
        <v>45775</v>
      </c>
      <c r="B255" s="15">
        <v>45775</v>
      </c>
      <c r="C255" s="66" t="s">
        <v>142</v>
      </c>
      <c r="D255" s="19">
        <v>-65.28</v>
      </c>
      <c r="E255" s="19"/>
      <c r="F255" s="19">
        <f>=IF(F254&lt;&gt;"NA",F254+D255+E255,"NA")</f>
      </c>
      <c r="G255" s="45" t="s">
        <v>7</v>
      </c>
    </row>
    <row r="256">
      <c r="A256" s="13">
        <v>45775</v>
      </c>
      <c r="B256" s="16">
        <v>45775</v>
      </c>
      <c r="C256" s="57" t="s">
        <v>244</v>
      </c>
      <c r="D256" s="18"/>
      <c r="E256" s="18">
        <v>750</v>
      </c>
      <c r="F256" s="18">
        <f>=IF(F255&lt;&gt;"NA",F255+D256+E256,"NA")</f>
      </c>
      <c r="G256" s="44" t="s">
        <v>7</v>
      </c>
    </row>
    <row r="257">
      <c r="A257" s="11">
        <v>45776</v>
      </c>
      <c r="B257" s="15">
        <v>45776</v>
      </c>
      <c r="C257" s="66" t="s">
        <v>245</v>
      </c>
      <c r="D257" s="19">
        <v>-597</v>
      </c>
      <c r="E257" s="19"/>
      <c r="F257" s="19">
        <f>=IF(F256&lt;&gt;"NA",F256+D257+E257,"NA")</f>
      </c>
      <c r="G257" s="45" t="s">
        <v>7</v>
      </c>
    </row>
    <row r="258">
      <c r="A258" s="13">
        <v>45777</v>
      </c>
      <c r="B258" s="16">
        <v>45777</v>
      </c>
      <c r="C258" s="57" t="s">
        <v>183</v>
      </c>
      <c r="D258" s="18">
        <v>-392.58</v>
      </c>
      <c r="E258" s="18"/>
      <c r="F258" s="18">
        <f>=IF(F257&lt;&gt;"NA",F257+D258+E258,"NA")</f>
      </c>
      <c r="G258" s="44" t="s">
        <v>7</v>
      </c>
    </row>
    <row r="259">
      <c r="A259" s="11">
        <v>45777</v>
      </c>
      <c r="B259" s="15">
        <v>45777</v>
      </c>
      <c r="C259" s="66" t="s">
        <v>183</v>
      </c>
      <c r="D259" s="19">
        <v>-538.36</v>
      </c>
      <c r="E259" s="19"/>
      <c r="F259" s="19">
        <f>=IF(F258&lt;&gt;"NA",F258+D259+E259,"NA")</f>
      </c>
      <c r="G259" s="45" t="s">
        <v>7</v>
      </c>
    </row>
    <row r="260">
      <c r="A260" s="13">
        <v>45777</v>
      </c>
      <c r="B260" s="16">
        <v>45777</v>
      </c>
      <c r="C260" s="57" t="s">
        <v>246</v>
      </c>
      <c r="D260" s="18">
        <v>-111.35</v>
      </c>
      <c r="E260" s="18"/>
      <c r="F260" s="18">
        <f>=IF(F259&lt;&gt;"NA",F259+D260+E260,"NA")</f>
      </c>
      <c r="G260" s="44" t="s">
        <v>7</v>
      </c>
    </row>
    <row r="261">
      <c r="A261" s="11">
        <v>45779</v>
      </c>
      <c r="B261" s="15">
        <v>45779</v>
      </c>
      <c r="C261" s="66" t="s">
        <v>247</v>
      </c>
      <c r="D261" s="19"/>
      <c r="E261" s="19">
        <v>500</v>
      </c>
      <c r="F261" s="19">
        <f>=IF(F260&lt;&gt;"NA",F260+D261+E261,"NA")</f>
      </c>
      <c r="G261" s="45" t="s">
        <v>7</v>
      </c>
    </row>
    <row r="262">
      <c r="A262" s="13">
        <v>45779</v>
      </c>
      <c r="B262" s="16">
        <v>45779</v>
      </c>
      <c r="C262" s="57" t="s">
        <v>248</v>
      </c>
      <c r="D262" s="18">
        <v>-30.84</v>
      </c>
      <c r="E262" s="18"/>
      <c r="F262" s="18">
        <f>=IF(F261&lt;&gt;"NA",F261+D262+E262,"NA")</f>
      </c>
      <c r="G262" s="44" t="s">
        <v>7</v>
      </c>
    </row>
    <row r="263">
      <c r="A263" s="11">
        <v>45782</v>
      </c>
      <c r="B263" s="15">
        <v>45782</v>
      </c>
      <c r="C263" s="66" t="s">
        <v>249</v>
      </c>
      <c r="D263" s="19">
        <v>-123.34</v>
      </c>
      <c r="E263" s="19"/>
      <c r="F263" s="19">
        <f>=IF(F262&lt;&gt;"NA",F262+D263+E263,"NA")</f>
      </c>
      <c r="G263" s="45" t="s">
        <v>7</v>
      </c>
    </row>
    <row r="264">
      <c r="A264" s="13">
        <v>45782</v>
      </c>
      <c r="B264" s="16">
        <v>45782</v>
      </c>
      <c r="C264" s="57" t="s">
        <v>250</v>
      </c>
      <c r="D264" s="18">
        <v>-23.17</v>
      </c>
      <c r="E264" s="18"/>
      <c r="F264" s="18">
        <f>=IF(F263&lt;&gt;"NA",F263+D264+E264,"NA")</f>
      </c>
      <c r="G264" s="44" t="s">
        <v>7</v>
      </c>
    </row>
    <row r="265">
      <c r="A265" s="11">
        <v>45782</v>
      </c>
      <c r="B265" s="15">
        <v>45782</v>
      </c>
      <c r="C265" s="66" t="s">
        <v>251</v>
      </c>
      <c r="D265" s="19">
        <v>-69.07</v>
      </c>
      <c r="E265" s="19"/>
      <c r="F265" s="19">
        <f>=IF(F264&lt;&gt;"NA",F264+D265+E265,"NA")</f>
      </c>
      <c r="G265" s="45" t="s">
        <v>7</v>
      </c>
    </row>
    <row r="266">
      <c r="A266" s="13">
        <v>45782</v>
      </c>
      <c r="B266" s="16">
        <v>45782</v>
      </c>
      <c r="C266" s="57" t="s">
        <v>252</v>
      </c>
      <c r="D266" s="18">
        <v>-96.62</v>
      </c>
      <c r="E266" s="18"/>
      <c r="F266" s="18">
        <f>=IF(F265&lt;&gt;"NA",F265+D266+E266,"NA")</f>
      </c>
      <c r="G266" s="44" t="s">
        <v>7</v>
      </c>
    </row>
    <row r="267">
      <c r="A267" s="11">
        <v>45782</v>
      </c>
      <c r="B267" s="15">
        <v>45782</v>
      </c>
      <c r="C267" s="66" t="s">
        <v>253</v>
      </c>
      <c r="D267" s="19"/>
      <c r="E267" s="19">
        <v>671.92</v>
      </c>
      <c r="F267" s="19">
        <f>=IF(F266&lt;&gt;"NA",F266+D267+E267,"NA")</f>
      </c>
      <c r="G267" s="45" t="s">
        <v>7</v>
      </c>
    </row>
    <row r="268">
      <c r="A268" s="13">
        <v>45782</v>
      </c>
      <c r="B268" s="16">
        <v>45782</v>
      </c>
      <c r="C268" s="57" t="s">
        <v>254</v>
      </c>
      <c r="D268" s="18">
        <v>-1280</v>
      </c>
      <c r="E268" s="18"/>
      <c r="F268" s="18">
        <f>=IF(F267&lt;&gt;"NA",F267+D268+E268,"NA")</f>
      </c>
      <c r="G268" s="44" t="s">
        <v>7</v>
      </c>
    </row>
    <row r="269">
      <c r="A269" s="11">
        <v>45782</v>
      </c>
      <c r="B269" s="15">
        <v>45782</v>
      </c>
      <c r="C269" s="66" t="s">
        <v>233</v>
      </c>
      <c r="D269" s="19"/>
      <c r="E269" s="19">
        <v>1590</v>
      </c>
      <c r="F269" s="19">
        <f>=IF(F268&lt;&gt;"NA",F268+D269+E269,"NA")</f>
      </c>
      <c r="G269" s="45" t="s">
        <v>7</v>
      </c>
    </row>
    <row r="270">
      <c r="A270" s="13">
        <v>45782</v>
      </c>
      <c r="B270" s="16">
        <v>45782</v>
      </c>
      <c r="C270" s="57" t="s">
        <v>233</v>
      </c>
      <c r="D270" s="18"/>
      <c r="E270" s="18">
        <v>150</v>
      </c>
      <c r="F270" s="18">
        <f>=IF(F269&lt;&gt;"NA",F269+D270+E270,"NA")</f>
      </c>
      <c r="G270" s="44" t="s">
        <v>7</v>
      </c>
    </row>
    <row r="271">
      <c r="A271" s="11">
        <v>45782</v>
      </c>
      <c r="B271" s="15">
        <v>45782</v>
      </c>
      <c r="C271" s="66" t="s">
        <v>255</v>
      </c>
      <c r="D271" s="19">
        <v>-0.85</v>
      </c>
      <c r="E271" s="19"/>
      <c r="F271" s="19">
        <f>=IF(F270&lt;&gt;"NA",F270+D271+E271,"NA")</f>
      </c>
      <c r="G271" s="45" t="s">
        <v>7</v>
      </c>
    </row>
    <row r="272">
      <c r="A272" s="13">
        <v>45782</v>
      </c>
      <c r="B272" s="16">
        <v>45782</v>
      </c>
      <c r="C272" s="57" t="s">
        <v>256</v>
      </c>
      <c r="D272" s="18">
        <v>-17.78</v>
      </c>
      <c r="E272" s="18"/>
      <c r="F272" s="18">
        <f>=IF(F271&lt;&gt;"NA",F271+D272+E272,"NA")</f>
      </c>
      <c r="G272" s="44" t="s">
        <v>7</v>
      </c>
    </row>
    <row r="273">
      <c r="A273" s="11">
        <v>45782</v>
      </c>
      <c r="B273" s="15">
        <v>45782</v>
      </c>
      <c r="C273" s="66" t="s">
        <v>257</v>
      </c>
      <c r="D273" s="19">
        <v>-12.47</v>
      </c>
      <c r="E273" s="19"/>
      <c r="F273" s="19">
        <f>=IF(F272&lt;&gt;"NA",F272+D273+E273,"NA")</f>
      </c>
      <c r="G273" s="45" t="s">
        <v>7</v>
      </c>
    </row>
    <row r="274">
      <c r="A274" s="13">
        <v>45783</v>
      </c>
      <c r="B274" s="16">
        <v>45783</v>
      </c>
      <c r="C274" s="57" t="s">
        <v>258</v>
      </c>
      <c r="D274" s="18">
        <v>-19.97</v>
      </c>
      <c r="E274" s="18"/>
      <c r="F274" s="18">
        <f>=IF(F273&lt;&gt;"NA",F273+D274+E274,"NA")</f>
      </c>
      <c r="G274" s="44" t="s">
        <v>7</v>
      </c>
    </row>
    <row r="275">
      <c r="A275" s="11">
        <v>45783</v>
      </c>
      <c r="B275" s="15">
        <v>45783</v>
      </c>
      <c r="C275" s="66" t="s">
        <v>259</v>
      </c>
      <c r="D275" s="19">
        <v>-0.85</v>
      </c>
      <c r="E275" s="19"/>
      <c r="F275" s="19">
        <f>=IF(F274&lt;&gt;"NA",F274+D275+E275,"NA")</f>
      </c>
      <c r="G275" s="45" t="s">
        <v>7</v>
      </c>
    </row>
    <row r="276">
      <c r="A276" s="13">
        <v>45783</v>
      </c>
      <c r="B276" s="16">
        <v>45783</v>
      </c>
      <c r="C276" s="57" t="s">
        <v>260</v>
      </c>
      <c r="D276" s="18">
        <v>-17.76</v>
      </c>
      <c r="E276" s="18"/>
      <c r="F276" s="18">
        <f>=IF(F275&lt;&gt;"NA",F275+D276+E276,"NA")</f>
      </c>
      <c r="G276" s="44" t="s">
        <v>7</v>
      </c>
    </row>
    <row r="277">
      <c r="A277" s="11">
        <v>45783</v>
      </c>
      <c r="B277" s="15">
        <v>45783</v>
      </c>
      <c r="C277" s="66" t="s">
        <v>261</v>
      </c>
      <c r="D277" s="19">
        <v>-0.84</v>
      </c>
      <c r="E277" s="19"/>
      <c r="F277" s="19">
        <f>=IF(F276&lt;&gt;"NA",F276+D277+E277,"NA")</f>
      </c>
      <c r="G277" s="45" t="s">
        <v>7</v>
      </c>
    </row>
    <row r="278">
      <c r="A278" s="13">
        <v>45783</v>
      </c>
      <c r="B278" s="16">
        <v>45783</v>
      </c>
      <c r="C278" s="57" t="s">
        <v>262</v>
      </c>
      <c r="D278" s="18">
        <v>-17.72</v>
      </c>
      <c r="E278" s="18"/>
      <c r="F278" s="18">
        <f>=IF(F277&lt;&gt;"NA",F277+D278+E278,"NA")</f>
      </c>
      <c r="G278" s="44" t="s">
        <v>7</v>
      </c>
    </row>
    <row r="279">
      <c r="A279" s="11">
        <v>45784</v>
      </c>
      <c r="B279" s="15">
        <v>45784</v>
      </c>
      <c r="C279" s="66" t="s">
        <v>263</v>
      </c>
      <c r="D279" s="19">
        <v>-88.8</v>
      </c>
      <c r="E279" s="19"/>
      <c r="F279" s="19">
        <f>=IF(F278&lt;&gt;"NA",F278+D279+E279,"NA")</f>
      </c>
      <c r="G279" s="45" t="s">
        <v>7</v>
      </c>
    </row>
    <row r="280">
      <c r="A280" s="13">
        <v>45784</v>
      </c>
      <c r="B280" s="16">
        <v>45784</v>
      </c>
      <c r="C280" s="57" t="s">
        <v>264</v>
      </c>
      <c r="D280" s="18">
        <v>-133.19</v>
      </c>
      <c r="E280" s="18"/>
      <c r="F280" s="18">
        <f>=IF(F279&lt;&gt;"NA",F279+D280+E280,"NA")</f>
      </c>
      <c r="G280" s="44" t="s">
        <v>7</v>
      </c>
    </row>
    <row r="281">
      <c r="A281" s="11">
        <v>45785</v>
      </c>
      <c r="B281" s="15">
        <v>45785</v>
      </c>
      <c r="C281" s="66" t="s">
        <v>265</v>
      </c>
      <c r="D281" s="19"/>
      <c r="E281" s="19">
        <v>1500</v>
      </c>
      <c r="F281" s="19">
        <f>=IF(F280&lt;&gt;"NA",F280+D281+E281,"NA")</f>
      </c>
      <c r="G281" s="45" t="s">
        <v>7</v>
      </c>
    </row>
    <row r="282">
      <c r="A282" s="13">
        <v>45786</v>
      </c>
      <c r="B282" s="16">
        <v>45786</v>
      </c>
      <c r="C282" s="57" t="s">
        <v>118</v>
      </c>
      <c r="D282" s="18">
        <v>-647.77</v>
      </c>
      <c r="E282" s="18"/>
      <c r="F282" s="18">
        <f>=IF(F281&lt;&gt;"NA",F281+D282+E282,"NA")</f>
      </c>
      <c r="G282" s="44" t="s">
        <v>7</v>
      </c>
    </row>
    <row r="283">
      <c r="A283" s="11">
        <v>45786</v>
      </c>
      <c r="B283" s="15">
        <v>45786</v>
      </c>
      <c r="C283" s="66" t="s">
        <v>28</v>
      </c>
      <c r="D283" s="19">
        <v>-823.71</v>
      </c>
      <c r="E283" s="19"/>
      <c r="F283" s="19">
        <f>=IF(F282&lt;&gt;"NA",F282+D283+E283,"NA")</f>
      </c>
      <c r="G283" s="45" t="s">
        <v>7</v>
      </c>
    </row>
    <row r="284">
      <c r="A284" s="13">
        <v>45786</v>
      </c>
      <c r="B284" s="16">
        <v>45786</v>
      </c>
      <c r="C284" s="57" t="s">
        <v>36</v>
      </c>
      <c r="D284" s="18">
        <v>-31.97</v>
      </c>
      <c r="E284" s="18"/>
      <c r="F284" s="18">
        <f>=IF(F283&lt;&gt;"NA",F283+D284+E284,"NA")</f>
      </c>
      <c r="G284" s="44" t="s">
        <v>7</v>
      </c>
    </row>
    <row r="285">
      <c r="A285" s="11">
        <v>45786</v>
      </c>
      <c r="B285" s="15">
        <v>45786</v>
      </c>
      <c r="C285" s="66" t="s">
        <v>266</v>
      </c>
      <c r="D285" s="19">
        <v>-0.6</v>
      </c>
      <c r="E285" s="19"/>
      <c r="F285" s="19">
        <f>=IF(F284&lt;&gt;"NA",F284+D285+E285,"NA")</f>
      </c>
      <c r="G285" s="45" t="s">
        <v>7</v>
      </c>
    </row>
    <row r="286">
      <c r="A286" s="13">
        <v>45786</v>
      </c>
      <c r="B286" s="16">
        <v>45786</v>
      </c>
      <c r="C286" s="57" t="s">
        <v>267</v>
      </c>
      <c r="D286" s="18">
        <v>-9.35</v>
      </c>
      <c r="E286" s="18"/>
      <c r="F286" s="18">
        <f>=IF(F285&lt;&gt;"NA",F285+D286+E286,"NA")</f>
      </c>
      <c r="G286" s="44" t="s">
        <v>7</v>
      </c>
    </row>
    <row r="287">
      <c r="A287" s="11">
        <v>45786</v>
      </c>
      <c r="B287" s="15">
        <v>45786</v>
      </c>
      <c r="C287" s="66" t="s">
        <v>268</v>
      </c>
      <c r="D287" s="19">
        <v>-24</v>
      </c>
      <c r="E287" s="19"/>
      <c r="F287" s="19">
        <f>=IF(F286&lt;&gt;"NA",F286+D287+E287,"NA")</f>
      </c>
      <c r="G287" s="45" t="s">
        <v>7</v>
      </c>
    </row>
    <row r="288">
      <c r="A288" s="13">
        <v>45789</v>
      </c>
      <c r="B288" s="16">
        <v>45778</v>
      </c>
      <c r="C288" s="57" t="s">
        <v>269</v>
      </c>
      <c r="D288" s="18">
        <v>-38.55</v>
      </c>
      <c r="E288" s="18"/>
      <c r="F288" s="18">
        <f>=IF(F287&lt;&gt;"NA",F287+D288+E288,"NA")</f>
      </c>
      <c r="G288" s="44" t="s">
        <v>7</v>
      </c>
    </row>
    <row r="289">
      <c r="A289" s="11">
        <v>45789</v>
      </c>
      <c r="B289" s="15">
        <v>45789</v>
      </c>
      <c r="C289" s="66" t="s">
        <v>270</v>
      </c>
      <c r="D289" s="19">
        <v>-76.27</v>
      </c>
      <c r="E289" s="19"/>
      <c r="F289" s="19">
        <f>=IF(F288&lt;&gt;"NA",F288+D289+E289,"NA")</f>
      </c>
      <c r="G289" s="45" t="s">
        <v>7</v>
      </c>
    </row>
    <row r="290">
      <c r="A290" s="13">
        <v>45789</v>
      </c>
      <c r="B290" s="16">
        <v>45789</v>
      </c>
      <c r="C290" s="57" t="s">
        <v>271</v>
      </c>
      <c r="D290" s="18">
        <v>-51.38</v>
      </c>
      <c r="E290" s="18"/>
      <c r="F290" s="18">
        <f>=IF(F289&lt;&gt;"NA",F289+D290+E290,"NA")</f>
      </c>
      <c r="G290" s="44" t="s">
        <v>7</v>
      </c>
    </row>
    <row r="291">
      <c r="A291" s="11">
        <v>45789</v>
      </c>
      <c r="B291" s="15">
        <v>45789</v>
      </c>
      <c r="C291" s="66" t="s">
        <v>272</v>
      </c>
      <c r="D291" s="19">
        <v>-0.85</v>
      </c>
      <c r="E291" s="19"/>
      <c r="F291" s="19">
        <f>=IF(F290&lt;&gt;"NA",F290+D291+E291,"NA")</f>
      </c>
      <c r="G291" s="45" t="s">
        <v>7</v>
      </c>
    </row>
    <row r="292">
      <c r="A292" s="13">
        <v>45789</v>
      </c>
      <c r="B292" s="16">
        <v>45789</v>
      </c>
      <c r="C292" s="57" t="s">
        <v>273</v>
      </c>
      <c r="D292" s="18">
        <v>-17.9</v>
      </c>
      <c r="E292" s="18"/>
      <c r="F292" s="18">
        <f>=IF(F291&lt;&gt;"NA",F291+D292+E292,"NA")</f>
      </c>
      <c r="G292" s="44" t="s">
        <v>7</v>
      </c>
    </row>
    <row r="293">
      <c r="A293" s="11">
        <v>45790</v>
      </c>
      <c r="B293" s="15">
        <v>45790</v>
      </c>
      <c r="C293" s="66" t="s">
        <v>274</v>
      </c>
      <c r="D293" s="19">
        <v>-0.85</v>
      </c>
      <c r="E293" s="19"/>
      <c r="F293" s="19">
        <f>=IF(F292&lt;&gt;"NA",F292+D293+E293,"NA")</f>
      </c>
      <c r="G293" s="45" t="s">
        <v>7</v>
      </c>
    </row>
    <row r="294">
      <c r="A294" s="13">
        <v>45790</v>
      </c>
      <c r="B294" s="16">
        <v>45790</v>
      </c>
      <c r="C294" s="57" t="s">
        <v>275</v>
      </c>
      <c r="D294" s="18">
        <v>-18.07</v>
      </c>
      <c r="E294" s="18"/>
      <c r="F294" s="18">
        <f>=IF(F293&lt;&gt;"NA",F293+D294+E294,"NA")</f>
      </c>
      <c r="G294" s="44" t="s">
        <v>7</v>
      </c>
    </row>
    <row r="295">
      <c r="A295" s="11">
        <v>45790</v>
      </c>
      <c r="B295" s="15">
        <v>45790</v>
      </c>
      <c r="C295" s="66" t="s">
        <v>276</v>
      </c>
      <c r="D295" s="19">
        <v>-0.85</v>
      </c>
      <c r="E295" s="19"/>
      <c r="F295" s="19">
        <f>=IF(F294&lt;&gt;"NA",F294+D295+E295,"NA")</f>
      </c>
      <c r="G295" s="45" t="s">
        <v>7</v>
      </c>
    </row>
    <row r="296">
      <c r="A296" s="13">
        <v>45790</v>
      </c>
      <c r="B296" s="16">
        <v>45790</v>
      </c>
      <c r="C296" s="57" t="s">
        <v>277</v>
      </c>
      <c r="D296" s="18">
        <v>-18.07</v>
      </c>
      <c r="E296" s="18"/>
      <c r="F296" s="18">
        <f>=IF(F295&lt;&gt;"NA",F295+D296+E296,"NA")</f>
      </c>
      <c r="G296" s="44" t="s">
        <v>7</v>
      </c>
    </row>
    <row r="297">
      <c r="A297" s="11">
        <v>45791</v>
      </c>
      <c r="B297" s="15">
        <v>45791</v>
      </c>
      <c r="C297" s="66" t="s">
        <v>278</v>
      </c>
      <c r="D297" s="19"/>
      <c r="E297" s="19">
        <v>54.03</v>
      </c>
      <c r="F297" s="19">
        <f>=IF(F296&lt;&gt;"NA",F296+D297+E297,"NA")</f>
      </c>
      <c r="G297" s="45" t="s">
        <v>7</v>
      </c>
    </row>
    <row r="298">
      <c r="A298" s="13">
        <v>45792</v>
      </c>
      <c r="B298" s="16">
        <v>45792</v>
      </c>
      <c r="C298" s="57" t="s">
        <v>279</v>
      </c>
      <c r="D298" s="18">
        <v>-1.35</v>
      </c>
      <c r="E298" s="18"/>
      <c r="F298" s="18">
        <f>=IF(F297&lt;&gt;"NA",F297+D298+E298,"NA")</f>
      </c>
      <c r="G298" s="44" t="s">
        <v>7</v>
      </c>
    </row>
    <row r="299">
      <c r="A299" s="11">
        <v>45792</v>
      </c>
      <c r="B299" s="15">
        <v>45792</v>
      </c>
      <c r="C299" s="66" t="s">
        <v>280</v>
      </c>
      <c r="D299" s="19">
        <v>-35.13</v>
      </c>
      <c r="E299" s="19"/>
      <c r="F299" s="19">
        <f>=IF(F298&lt;&gt;"NA",F298+D299+E299,"NA")</f>
      </c>
      <c r="G299" s="45" t="s">
        <v>7</v>
      </c>
    </row>
    <row r="300">
      <c r="A300" s="13">
        <v>45793</v>
      </c>
      <c r="B300" s="16">
        <v>45793</v>
      </c>
      <c r="C300" s="57" t="s">
        <v>281</v>
      </c>
      <c r="D300" s="18">
        <v>-21</v>
      </c>
      <c r="E300" s="18"/>
      <c r="F300" s="18">
        <f>=IF(F299&lt;&gt;"NA",F299+D300+E300,"NA")</f>
      </c>
      <c r="G300" s="44" t="s">
        <v>7</v>
      </c>
    </row>
    <row r="301">
      <c r="A301" s="11">
        <v>45796</v>
      </c>
      <c r="B301" s="15">
        <v>45796</v>
      </c>
      <c r="C301" s="66" t="s">
        <v>282</v>
      </c>
      <c r="D301" s="19"/>
      <c r="E301" s="19">
        <v>33.32</v>
      </c>
      <c r="F301" s="19">
        <f>=IF(F300&lt;&gt;"NA",F300+D301+E301,"NA")</f>
      </c>
      <c r="G301" s="45" t="s">
        <v>7</v>
      </c>
    </row>
    <row r="302">
      <c r="A302" s="13">
        <v>45796</v>
      </c>
      <c r="B302" s="16">
        <v>45796</v>
      </c>
      <c r="C302" s="57" t="s">
        <v>283</v>
      </c>
      <c r="D302" s="18">
        <v>-11.9</v>
      </c>
      <c r="E302" s="18"/>
      <c r="F302" s="18">
        <f>=IF(F301&lt;&gt;"NA",F301+D302+E302,"NA")</f>
      </c>
      <c r="G302" s="44" t="s">
        <v>7</v>
      </c>
    </row>
    <row r="303">
      <c r="A303" s="11">
        <v>45796</v>
      </c>
      <c r="B303" s="15">
        <v>45796</v>
      </c>
      <c r="C303" s="66" t="s">
        <v>284</v>
      </c>
      <c r="D303" s="19">
        <v>-20.85</v>
      </c>
      <c r="E303" s="19"/>
      <c r="F303" s="19">
        <f>=IF(F302&lt;&gt;"NA",F302+D303+E303,"NA")</f>
      </c>
      <c r="G303" s="45" t="s">
        <v>7</v>
      </c>
    </row>
    <row r="304">
      <c r="A304" s="13">
        <v>45796</v>
      </c>
      <c r="B304" s="16">
        <v>45796</v>
      </c>
      <c r="C304" s="57" t="s">
        <v>285</v>
      </c>
      <c r="D304" s="18">
        <v>-42.65</v>
      </c>
      <c r="E304" s="18"/>
      <c r="F304" s="18">
        <f>=IF(F303&lt;&gt;"NA",F303+D304+E304,"NA")</f>
      </c>
      <c r="G304" s="44" t="s">
        <v>7</v>
      </c>
    </row>
    <row r="305">
      <c r="A305" s="11">
        <v>45796</v>
      </c>
      <c r="B305" s="15">
        <v>45796</v>
      </c>
      <c r="C305" s="66" t="s">
        <v>286</v>
      </c>
      <c r="D305" s="19">
        <v>-2.2</v>
      </c>
      <c r="E305" s="19"/>
      <c r="F305" s="19">
        <f>=IF(F304&lt;&gt;"NA",F304+D305+E305,"NA")</f>
      </c>
      <c r="G305" s="45" t="s">
        <v>7</v>
      </c>
    </row>
    <row r="306">
      <c r="A306" s="13">
        <v>45797</v>
      </c>
      <c r="B306" s="16">
        <v>45797</v>
      </c>
      <c r="C306" s="57" t="s">
        <v>287</v>
      </c>
      <c r="D306" s="18">
        <v>-0.87</v>
      </c>
      <c r="E306" s="18"/>
      <c r="F306" s="18">
        <f>=IF(F305&lt;&gt;"NA",F305+D306+E306,"NA")</f>
      </c>
      <c r="G306" s="44" t="s">
        <v>7</v>
      </c>
    </row>
    <row r="307">
      <c r="A307" s="11">
        <v>45797</v>
      </c>
      <c r="B307" s="15">
        <v>45797</v>
      </c>
      <c r="C307" s="66" t="s">
        <v>288</v>
      </c>
      <c r="D307" s="19">
        <v>-18.53</v>
      </c>
      <c r="E307" s="19"/>
      <c r="F307" s="19">
        <f>=IF(F306&lt;&gt;"NA",F306+D307+E307,"NA")</f>
      </c>
      <c r="G307" s="45" t="s">
        <v>7</v>
      </c>
    </row>
    <row r="308">
      <c r="A308" s="13">
        <v>45797</v>
      </c>
      <c r="B308" s="16">
        <v>45797</v>
      </c>
      <c r="C308" s="57" t="s">
        <v>289</v>
      </c>
      <c r="D308" s="18">
        <v>-0.85</v>
      </c>
      <c r="E308" s="18"/>
      <c r="F308" s="18">
        <f>=IF(F307&lt;&gt;"NA",F307+D308+E308,"NA")</f>
      </c>
      <c r="G308" s="44" t="s">
        <v>7</v>
      </c>
    </row>
    <row r="309">
      <c r="A309" s="11">
        <v>45797</v>
      </c>
      <c r="B309" s="15">
        <v>45797</v>
      </c>
      <c r="C309" s="66" t="s">
        <v>290</v>
      </c>
      <c r="D309" s="19">
        <v>-17.99</v>
      </c>
      <c r="E309" s="19"/>
      <c r="F309" s="19">
        <f>=IF(F308&lt;&gt;"NA",F308+D309+E309,"NA")</f>
      </c>
      <c r="G309" s="45" t="s">
        <v>7</v>
      </c>
    </row>
    <row r="310">
      <c r="A310" s="13">
        <v>45797</v>
      </c>
      <c r="B310" s="16">
        <v>45797</v>
      </c>
      <c r="C310" s="57" t="s">
        <v>291</v>
      </c>
      <c r="D310" s="18">
        <v>-13.9</v>
      </c>
      <c r="E310" s="18"/>
      <c r="F310" s="18">
        <f>=IF(F309&lt;&gt;"NA",F309+D310+E310,"NA")</f>
      </c>
      <c r="G310" s="44" t="s">
        <v>7</v>
      </c>
    </row>
    <row r="311">
      <c r="A311" s="11">
        <v>45797</v>
      </c>
      <c r="B311" s="15">
        <v>45797</v>
      </c>
      <c r="C311" s="66" t="s">
        <v>292</v>
      </c>
      <c r="D311" s="19">
        <v>-0.85</v>
      </c>
      <c r="E311" s="19"/>
      <c r="F311" s="19">
        <f>=IF(F310&lt;&gt;"NA",F310+D311+E311,"NA")</f>
      </c>
      <c r="G311" s="45" t="s">
        <v>7</v>
      </c>
    </row>
    <row r="312">
      <c r="A312" s="13">
        <v>45797</v>
      </c>
      <c r="B312" s="16">
        <v>45797</v>
      </c>
      <c r="C312" s="57" t="s">
        <v>293</v>
      </c>
      <c r="D312" s="18">
        <v>-17.98</v>
      </c>
      <c r="E312" s="18"/>
      <c r="F312" s="18">
        <f>=IF(F311&lt;&gt;"NA",F311+D312+E312,"NA")</f>
      </c>
      <c r="G312" s="44" t="s">
        <v>7</v>
      </c>
    </row>
    <row r="313">
      <c r="A313" s="11">
        <v>45799</v>
      </c>
      <c r="B313" s="15">
        <v>45799</v>
      </c>
      <c r="C313" s="66" t="s">
        <v>294</v>
      </c>
      <c r="D313" s="19">
        <v>-1.98</v>
      </c>
      <c r="E313" s="19"/>
      <c r="F313" s="19">
        <f>=IF(F312&lt;&gt;"NA",F312+D313+E313,"NA")</f>
      </c>
      <c r="G313" s="45" t="s">
        <v>7</v>
      </c>
    </row>
    <row r="314">
      <c r="A314" s="13">
        <v>45800</v>
      </c>
      <c r="B314" s="16">
        <v>45800</v>
      </c>
      <c r="C314" s="57" t="s">
        <v>295</v>
      </c>
      <c r="D314" s="18"/>
      <c r="E314" s="18">
        <v>206.32</v>
      </c>
      <c r="F314" s="18">
        <f>=IF(F313&lt;&gt;"NA",F313+D314+E314,"NA")</f>
      </c>
      <c r="G314" s="44" t="s">
        <v>7</v>
      </c>
    </row>
    <row r="315">
      <c r="A315" s="11">
        <v>45800</v>
      </c>
      <c r="B315" s="15">
        <v>45800</v>
      </c>
      <c r="C315" s="66" t="s">
        <v>296</v>
      </c>
      <c r="D315" s="19">
        <v>-2.91</v>
      </c>
      <c r="E315" s="19"/>
      <c r="F315" s="19">
        <f>=IF(F314&lt;&gt;"NA",F314+D315+E315,"NA")</f>
      </c>
      <c r="G315" s="45" t="s">
        <v>7</v>
      </c>
    </row>
    <row r="316">
      <c r="A316" s="13">
        <v>45800</v>
      </c>
      <c r="B316" s="16">
        <v>45800</v>
      </c>
      <c r="C316" s="57" t="s">
        <v>297</v>
      </c>
      <c r="D316" s="18">
        <v>-89.08</v>
      </c>
      <c r="E316" s="18"/>
      <c r="F316" s="18">
        <f>=IF(F315&lt;&gt;"NA",F315+D316+E316,"NA")</f>
      </c>
      <c r="G316" s="44" t="s">
        <v>7</v>
      </c>
    </row>
    <row r="317">
      <c r="A317" s="11">
        <v>45800</v>
      </c>
      <c r="B317" s="15">
        <v>45800</v>
      </c>
      <c r="C317" s="66" t="s">
        <v>298</v>
      </c>
      <c r="D317" s="19">
        <v>-0.99</v>
      </c>
      <c r="E317" s="19"/>
      <c r="F317" s="19">
        <f>=IF(F316&lt;&gt;"NA",F316+D317+E317,"NA")</f>
      </c>
      <c r="G317" s="45" t="s">
        <v>7</v>
      </c>
    </row>
    <row r="318">
      <c r="A318" s="13">
        <v>45803</v>
      </c>
      <c r="B318" s="16">
        <v>45803</v>
      </c>
      <c r="C318" s="57" t="s">
        <v>299</v>
      </c>
      <c r="D318" s="18">
        <v>-0.01</v>
      </c>
      <c r="E318" s="18"/>
      <c r="F318" s="18">
        <f>=IF(F317&lt;&gt;"NA",F317+D318+E318,"NA")</f>
      </c>
      <c r="G318" s="44" t="s">
        <v>7</v>
      </c>
    </row>
    <row r="319">
      <c r="A319" s="11">
        <v>45803</v>
      </c>
      <c r="B319" s="15">
        <v>45803</v>
      </c>
      <c r="C319" s="66" t="s">
        <v>300</v>
      </c>
      <c r="D319" s="19">
        <v>-0.99</v>
      </c>
      <c r="E319" s="19"/>
      <c r="F319" s="19">
        <f>=IF(F318&lt;&gt;"NA",F318+D319+E319,"NA")</f>
      </c>
      <c r="G319" s="45" t="s">
        <v>7</v>
      </c>
    </row>
    <row r="320">
      <c r="A320" s="13">
        <v>45804</v>
      </c>
      <c r="B320" s="16">
        <v>45804</v>
      </c>
      <c r="C320" s="57" t="s">
        <v>301</v>
      </c>
      <c r="D320" s="18">
        <v>-2.88</v>
      </c>
      <c r="E320" s="18"/>
      <c r="F320" s="18">
        <f>=IF(F319&lt;&gt;"NA",F319+D320+E320,"NA")</f>
      </c>
      <c r="G320" s="44" t="s">
        <v>7</v>
      </c>
    </row>
    <row r="321">
      <c r="A321" s="11">
        <v>45804</v>
      </c>
      <c r="B321" s="15">
        <v>45804</v>
      </c>
      <c r="C321" s="66" t="s">
        <v>302</v>
      </c>
      <c r="D321" s="19">
        <v>-88.06</v>
      </c>
      <c r="E321" s="19"/>
      <c r="F321" s="19">
        <f>=IF(F320&lt;&gt;"NA",F320+D321+E321,"NA")</f>
      </c>
      <c r="G321" s="45" t="s">
        <v>7</v>
      </c>
    </row>
    <row r="322">
      <c r="A322" s="13">
        <v>45804</v>
      </c>
      <c r="B322" s="16">
        <v>45804</v>
      </c>
      <c r="C322" s="57" t="s">
        <v>303</v>
      </c>
      <c r="D322" s="18">
        <v>-138.4</v>
      </c>
      <c r="E322" s="18"/>
      <c r="F322" s="18">
        <f>=IF(F321&lt;&gt;"NA",F321+D322+E322,"NA")</f>
      </c>
      <c r="G322" s="44" t="s">
        <v>7</v>
      </c>
    </row>
    <row r="323">
      <c r="A323" s="11">
        <v>45805</v>
      </c>
      <c r="B323" s="15">
        <v>45804</v>
      </c>
      <c r="C323" s="66" t="s">
        <v>304</v>
      </c>
      <c r="D323" s="19"/>
      <c r="E323" s="19">
        <v>932.09</v>
      </c>
      <c r="F323" s="19">
        <f>=IF(F322&lt;&gt;"NA",F322+D323+E323,"NA")</f>
      </c>
      <c r="G323" s="45" t="s">
        <v>7</v>
      </c>
    </row>
    <row r="324">
      <c r="A324" s="13">
        <v>45806</v>
      </c>
      <c r="B324" s="16">
        <v>45806</v>
      </c>
      <c r="C324" s="57" t="s">
        <v>183</v>
      </c>
      <c r="D324" s="18">
        <v>-332.58</v>
      </c>
      <c r="E324" s="18"/>
      <c r="F324" s="18">
        <f>=IF(F323&lt;&gt;"NA",F323+D324+E324,"NA")</f>
      </c>
      <c r="G324" s="44" t="s">
        <v>7</v>
      </c>
    </row>
    <row r="325">
      <c r="A325" s="11">
        <v>45807</v>
      </c>
      <c r="B325" s="15">
        <v>45807</v>
      </c>
      <c r="C325" s="66" t="s">
        <v>305</v>
      </c>
      <c r="D325" s="19">
        <v>-20</v>
      </c>
      <c r="E325" s="19"/>
      <c r="F325" s="19">
        <f>=IF(F324&lt;&gt;"NA",F324+D325+E325,"NA")</f>
      </c>
      <c r="G325" s="45" t="s">
        <v>7</v>
      </c>
    </row>
    <row r="326">
      <c r="A326" s="13">
        <v>45810</v>
      </c>
      <c r="B326" s="16">
        <v>45810</v>
      </c>
      <c r="C326" s="57" t="s">
        <v>28</v>
      </c>
      <c r="D326" s="18">
        <v>-823.71</v>
      </c>
      <c r="E326" s="18"/>
      <c r="F326" s="18">
        <f>=IF(F325&lt;&gt;"NA",F325+D326+E326,"NA")</f>
      </c>
      <c r="G326" s="44" t="s">
        <v>7</v>
      </c>
    </row>
    <row r="327">
      <c r="A327" s="11">
        <v>45811</v>
      </c>
      <c r="B327" s="15">
        <v>45811</v>
      </c>
      <c r="C327" s="66" t="s">
        <v>306</v>
      </c>
      <c r="D327" s="19">
        <v>-106.77</v>
      </c>
      <c r="E327" s="19"/>
      <c r="F327" s="19">
        <f>=IF(F326&lt;&gt;"NA",F326+D327+E327,"NA")</f>
      </c>
      <c r="G327" s="45" t="s">
        <v>7</v>
      </c>
    </row>
    <row r="328">
      <c r="A328" s="13">
        <v>45811</v>
      </c>
      <c r="B328" s="16">
        <v>45811</v>
      </c>
      <c r="C328" s="57" t="s">
        <v>307</v>
      </c>
      <c r="D328" s="18">
        <v>-41.99</v>
      </c>
      <c r="E328" s="18"/>
      <c r="F328" s="18">
        <f>=IF(F327&lt;&gt;"NA",F327+D328+E328,"NA")</f>
      </c>
      <c r="G328" s="44" t="s">
        <v>7</v>
      </c>
    </row>
    <row r="329">
      <c r="A329" s="11">
        <v>45811</v>
      </c>
      <c r="B329" s="15">
        <v>45811</v>
      </c>
      <c r="C329" s="66" t="s">
        <v>308</v>
      </c>
      <c r="D329" s="19">
        <v>-253.74</v>
      </c>
      <c r="E329" s="19"/>
      <c r="F329" s="19">
        <f>=IF(F328&lt;&gt;"NA",F328+D329+E329,"NA")</f>
      </c>
      <c r="G329" s="45" t="s">
        <v>7</v>
      </c>
    </row>
    <row r="330">
      <c r="A330" s="13">
        <v>45813</v>
      </c>
      <c r="B330" s="16">
        <v>45813</v>
      </c>
      <c r="C330" s="57" t="s">
        <v>309</v>
      </c>
      <c r="D330" s="18">
        <v>-23.17</v>
      </c>
      <c r="E330" s="18"/>
      <c r="F330" s="18">
        <f>=IF(F329&lt;&gt;"NA",F329+D330+E330,"NA")</f>
      </c>
      <c r="G330" s="44" t="s">
        <v>7</v>
      </c>
    </row>
    <row r="331">
      <c r="A331" s="11">
        <v>45813</v>
      </c>
      <c r="B331" s="15">
        <v>45813</v>
      </c>
      <c r="C331" s="66" t="s">
        <v>310</v>
      </c>
      <c r="D331" s="19">
        <v>-69.07</v>
      </c>
      <c r="E331" s="19"/>
      <c r="F331" s="19">
        <f>=IF(F330&lt;&gt;"NA",F330+D331+E331,"NA")</f>
      </c>
      <c r="G331" s="45" t="s">
        <v>7</v>
      </c>
    </row>
    <row r="332">
      <c r="A332" s="13">
        <v>45813</v>
      </c>
      <c r="B332" s="16">
        <v>45813</v>
      </c>
      <c r="C332" s="57" t="s">
        <v>311</v>
      </c>
      <c r="D332" s="18">
        <v>-96.62</v>
      </c>
      <c r="E332" s="18"/>
      <c r="F332" s="18">
        <f>=IF(F331&lt;&gt;"NA",F331+D332+E332,"NA")</f>
      </c>
      <c r="G332" s="44" t="s">
        <v>7</v>
      </c>
    </row>
    <row r="333">
      <c r="A333" s="11">
        <v>45813</v>
      </c>
      <c r="B333" s="15">
        <v>45813</v>
      </c>
      <c r="C333" s="66" t="s">
        <v>312</v>
      </c>
      <c r="D333" s="19">
        <v>-31.3</v>
      </c>
      <c r="E333" s="19"/>
      <c r="F333" s="19">
        <f>=IF(F332&lt;&gt;"NA",F332+D333+E333,"NA")</f>
      </c>
      <c r="G333" s="45" t="s">
        <v>7</v>
      </c>
    </row>
    <row r="334">
      <c r="A334" s="13">
        <v>45813</v>
      </c>
      <c r="B334" s="16">
        <v>45813</v>
      </c>
      <c r="C334" s="57" t="s">
        <v>313</v>
      </c>
      <c r="D334" s="18">
        <v>-12.47</v>
      </c>
      <c r="E334" s="18"/>
      <c r="F334" s="18">
        <f>=IF(F333&lt;&gt;"NA",F333+D334+E334,"NA")</f>
      </c>
      <c r="G334" s="44" t="s">
        <v>7</v>
      </c>
    </row>
    <row r="335">
      <c r="A335" s="11">
        <v>45813</v>
      </c>
      <c r="B335" s="15">
        <v>45813</v>
      </c>
      <c r="C335" s="66" t="s">
        <v>314</v>
      </c>
      <c r="D335" s="19">
        <v>-19.97</v>
      </c>
      <c r="E335" s="19"/>
      <c r="F335" s="19">
        <f>=IF(F334&lt;&gt;"NA",F334+D335+E335,"NA")</f>
      </c>
      <c r="G335" s="45" t="s">
        <v>7</v>
      </c>
    </row>
    <row r="336">
      <c r="A336" s="13">
        <v>45814</v>
      </c>
      <c r="B336" s="16">
        <v>45814</v>
      </c>
      <c r="C336" s="57" t="s">
        <v>315</v>
      </c>
      <c r="D336" s="18"/>
      <c r="E336" s="18">
        <v>1500</v>
      </c>
      <c r="F336" s="18">
        <f>=IF(F335&lt;&gt;"NA",F335+D336+E336,"NA")</f>
      </c>
      <c r="G336" s="44" t="s">
        <v>7</v>
      </c>
    </row>
    <row r="337">
      <c r="A337" s="11">
        <v>45814</v>
      </c>
      <c r="B337" s="15">
        <v>45814</v>
      </c>
      <c r="C337" s="66" t="s">
        <v>29</v>
      </c>
      <c r="D337" s="19">
        <v>-1280</v>
      </c>
      <c r="E337" s="19"/>
      <c r="F337" s="19">
        <f>=IF(F336&lt;&gt;"NA",F336+D337+E337,"NA")</f>
      </c>
      <c r="G337" s="45" t="s">
        <v>7</v>
      </c>
    </row>
    <row r="338">
      <c r="A338" s="13">
        <v>45814</v>
      </c>
      <c r="B338" s="16">
        <v>45814</v>
      </c>
      <c r="C338" s="57" t="s">
        <v>316</v>
      </c>
      <c r="D338" s="18">
        <v>-2.08</v>
      </c>
      <c r="E338" s="18"/>
      <c r="F338" s="18">
        <f>=IF(F337&lt;&gt;"NA",F337+D338+E338,"NA")</f>
      </c>
      <c r="G338" s="44" t="s">
        <v>7</v>
      </c>
    </row>
    <row r="339">
      <c r="A339" s="11">
        <v>45814</v>
      </c>
      <c r="B339" s="15">
        <v>45814</v>
      </c>
      <c r="C339" s="66" t="s">
        <v>317</v>
      </c>
      <c r="D339" s="19">
        <v>-0.84</v>
      </c>
      <c r="E339" s="19"/>
      <c r="F339" s="19">
        <f>=IF(F338&lt;&gt;"NA",F338+D339+E339,"NA")</f>
      </c>
      <c r="G339" s="45" t="s">
        <v>7</v>
      </c>
    </row>
    <row r="340">
      <c r="A340" s="13">
        <v>45814</v>
      </c>
      <c r="B340" s="16">
        <v>45814</v>
      </c>
      <c r="C340" s="57" t="s">
        <v>318</v>
      </c>
      <c r="D340" s="18">
        <v>-17.54</v>
      </c>
      <c r="E340" s="18"/>
      <c r="F340" s="18">
        <f>=IF(F339&lt;&gt;"NA",F339+D340+E340,"NA")</f>
      </c>
      <c r="G340" s="44" t="s">
        <v>7</v>
      </c>
    </row>
    <row r="341">
      <c r="A341" s="11">
        <v>45817</v>
      </c>
      <c r="B341" s="15">
        <v>45817</v>
      </c>
      <c r="C341" s="66" t="s">
        <v>319</v>
      </c>
      <c r="D341" s="19">
        <v>-48.7</v>
      </c>
      <c r="E341" s="19"/>
      <c r="F341" s="19">
        <f>=IF(F340&lt;&gt;"NA",F340+D341+E341,"NA")</f>
      </c>
      <c r="G341" s="45" t="s">
        <v>7</v>
      </c>
    </row>
    <row r="342">
      <c r="A342" s="13">
        <v>45817</v>
      </c>
      <c r="B342" s="16">
        <v>45817</v>
      </c>
      <c r="C342" s="57" t="s">
        <v>320</v>
      </c>
      <c r="D342" s="18">
        <v>-12.7</v>
      </c>
      <c r="E342" s="18"/>
      <c r="F342" s="18">
        <f>=IF(F341&lt;&gt;"NA",F341+D342+E342,"NA")</f>
      </c>
      <c r="G342" s="44" t="s">
        <v>7</v>
      </c>
    </row>
    <row r="343">
      <c r="A343" s="11">
        <v>45817</v>
      </c>
      <c r="B343" s="15">
        <v>45817</v>
      </c>
      <c r="C343" s="66" t="s">
        <v>321</v>
      </c>
      <c r="D343" s="19">
        <v>-32.41</v>
      </c>
      <c r="E343" s="19"/>
      <c r="F343" s="19">
        <f>=IF(F342&lt;&gt;"NA",F342+D343+E343,"NA")</f>
      </c>
      <c r="G343" s="45" t="s">
        <v>7</v>
      </c>
    </row>
    <row r="344">
      <c r="A344" s="13">
        <v>45817</v>
      </c>
      <c r="B344" s="16">
        <v>45817</v>
      </c>
      <c r="C344" s="57" t="s">
        <v>322</v>
      </c>
      <c r="D344" s="18">
        <v>-1.27</v>
      </c>
      <c r="E344" s="18"/>
      <c r="F344" s="18">
        <f>=IF(F343&lt;&gt;"NA",F343+D344+E344,"NA")</f>
      </c>
      <c r="G344" s="44" t="s">
        <v>7</v>
      </c>
    </row>
    <row r="345">
      <c r="A345" s="11">
        <v>45818</v>
      </c>
      <c r="B345" s="15">
        <v>45809</v>
      </c>
      <c r="C345" s="66" t="s">
        <v>323</v>
      </c>
      <c r="D345" s="19">
        <v>-38.34</v>
      </c>
      <c r="E345" s="19"/>
      <c r="F345" s="19">
        <f>=IF(F344&lt;&gt;"NA",F344+D345+E345,"NA")</f>
      </c>
      <c r="G345" s="45" t="s">
        <v>7</v>
      </c>
    </row>
    <row r="346">
      <c r="A346" s="13">
        <v>45818</v>
      </c>
      <c r="B346" s="16">
        <v>45818</v>
      </c>
      <c r="C346" s="57" t="s">
        <v>324</v>
      </c>
      <c r="D346" s="18">
        <v>-51.38</v>
      </c>
      <c r="E346" s="18"/>
      <c r="F346" s="18">
        <f>=IF(F345&lt;&gt;"NA",F345+D346+E346,"NA")</f>
      </c>
      <c r="G346" s="44" t="s">
        <v>7</v>
      </c>
    </row>
    <row r="347">
      <c r="A347" s="11">
        <v>45818</v>
      </c>
      <c r="B347" s="15">
        <v>45818</v>
      </c>
      <c r="C347" s="66" t="s">
        <v>36</v>
      </c>
      <c r="D347" s="19">
        <v>-31.48</v>
      </c>
      <c r="E347" s="19"/>
      <c r="F347" s="19">
        <f>=IF(F346&lt;&gt;"NA",F346+D347+E347,"NA")</f>
      </c>
      <c r="G347" s="45" t="s">
        <v>7</v>
      </c>
    </row>
    <row r="348">
      <c r="A348" s="13">
        <v>45819</v>
      </c>
      <c r="B348" s="16">
        <v>45819</v>
      </c>
      <c r="C348" s="57" t="s">
        <v>325</v>
      </c>
      <c r="D348" s="18"/>
      <c r="E348" s="18">
        <v>196.05</v>
      </c>
      <c r="F348" s="18">
        <f>=IF(F347&lt;&gt;"NA",F347+D348+E348,"NA")</f>
      </c>
      <c r="G348" s="44" t="s">
        <v>7</v>
      </c>
    </row>
    <row r="349">
      <c r="A349" s="11">
        <v>45820</v>
      </c>
      <c r="B349" s="15">
        <v>45820</v>
      </c>
      <c r="C349" s="66" t="s">
        <v>326</v>
      </c>
      <c r="D349" s="19">
        <v>-76.27</v>
      </c>
      <c r="E349" s="19"/>
      <c r="F349" s="19">
        <f>=IF(F348&lt;&gt;"NA",F348+D349+E349,"NA")</f>
      </c>
      <c r="G349" s="45" t="s">
        <v>7</v>
      </c>
    </row>
    <row r="350">
      <c r="A350" s="13">
        <v>45820</v>
      </c>
      <c r="B350" s="16">
        <v>45820</v>
      </c>
      <c r="C350" s="57" t="s">
        <v>327</v>
      </c>
      <c r="D350" s="18">
        <v>-0.99</v>
      </c>
      <c r="E350" s="18"/>
      <c r="F350" s="18">
        <f>=IF(F349&lt;&gt;"NA",F349+D350+E350,"NA")</f>
      </c>
      <c r="G350" s="44" t="s">
        <v>7</v>
      </c>
    </row>
    <row r="351">
      <c r="A351" s="11">
        <v>45822</v>
      </c>
      <c r="B351" s="15">
        <v>45822</v>
      </c>
      <c r="C351" s="66" t="s">
        <v>328</v>
      </c>
      <c r="D351" s="19"/>
      <c r="E351" s="19">
        <v>1000</v>
      </c>
      <c r="F351" s="19">
        <f>=IF(F350&lt;&gt;"NA",F350+D351+E351,"NA")</f>
      </c>
      <c r="G351" s="45" t="s">
        <v>7</v>
      </c>
    </row>
    <row r="352">
      <c r="A352" s="13">
        <v>45824</v>
      </c>
      <c r="B352" s="16">
        <v>45824</v>
      </c>
      <c r="C352" s="57" t="s">
        <v>329</v>
      </c>
      <c r="D352" s="18"/>
      <c r="E352" s="18">
        <v>800</v>
      </c>
      <c r="F352" s="18">
        <f>=IF(F351&lt;&gt;"NA",F351+D352+E352,"NA")</f>
      </c>
      <c r="G352" s="44" t="s">
        <v>7</v>
      </c>
    </row>
    <row r="353">
      <c r="A353" s="11">
        <v>45824</v>
      </c>
      <c r="B353" s="15">
        <v>45824</v>
      </c>
      <c r="C353" s="66" t="s">
        <v>233</v>
      </c>
      <c r="D353" s="19"/>
      <c r="E353" s="19">
        <v>2355</v>
      </c>
      <c r="F353" s="19">
        <f>=IF(F352&lt;&gt;"NA",F352+D353+E353,"NA")</f>
      </c>
      <c r="G353" s="45" t="s">
        <v>7</v>
      </c>
    </row>
    <row r="354">
      <c r="A354" s="13">
        <v>45824</v>
      </c>
      <c r="B354" s="16">
        <v>45824</v>
      </c>
      <c r="C354" s="57" t="s">
        <v>330</v>
      </c>
      <c r="D354" s="18">
        <v>-2.2</v>
      </c>
      <c r="E354" s="18"/>
      <c r="F354" s="18">
        <f>=IF(F353&lt;&gt;"NA",F353+D354+E354,"NA")</f>
      </c>
      <c r="G354" s="44" t="s">
        <v>7</v>
      </c>
    </row>
    <row r="355">
      <c r="A355" s="11">
        <v>45824</v>
      </c>
      <c r="B355" s="15">
        <v>45824</v>
      </c>
      <c r="C355" s="66" t="s">
        <v>331</v>
      </c>
      <c r="D355" s="19">
        <v>-157.07</v>
      </c>
      <c r="E355" s="19"/>
      <c r="F355" s="19">
        <f>=IF(F354&lt;&gt;"NA",F354+D355+E355,"NA")</f>
      </c>
      <c r="G355" s="45" t="s">
        <v>7</v>
      </c>
    </row>
    <row r="356">
      <c r="A356" s="13">
        <v>45824</v>
      </c>
      <c r="B356" s="16">
        <v>45824</v>
      </c>
      <c r="C356" s="57" t="s">
        <v>332</v>
      </c>
      <c r="D356" s="18">
        <v>-6.46</v>
      </c>
      <c r="E356" s="18"/>
      <c r="F356" s="18">
        <f>=IF(F355&lt;&gt;"NA",F355+D356+E356,"NA")</f>
      </c>
      <c r="G356" s="44" t="s">
        <v>7</v>
      </c>
    </row>
    <row r="357">
      <c r="A357" s="11">
        <v>45824</v>
      </c>
      <c r="B357" s="15">
        <v>45824</v>
      </c>
      <c r="C357" s="66" t="s">
        <v>333</v>
      </c>
      <c r="D357" s="19">
        <v>-40</v>
      </c>
      <c r="E357" s="19"/>
      <c r="F357" s="19">
        <f>=IF(F356&lt;&gt;"NA",F356+D357+E357,"NA")</f>
      </c>
      <c r="G357" s="45" t="s">
        <v>7</v>
      </c>
    </row>
    <row r="358">
      <c r="A358" s="13">
        <v>45825</v>
      </c>
      <c r="B358" s="16">
        <v>45825</v>
      </c>
      <c r="C358" s="57" t="s">
        <v>334</v>
      </c>
      <c r="D358" s="18">
        <v>-18</v>
      </c>
      <c r="E358" s="18"/>
      <c r="F358" s="18">
        <f>=IF(F357&lt;&gt;"NA",F357+D358+E358,"NA")</f>
      </c>
      <c r="G358" s="44" t="s">
        <v>7</v>
      </c>
    </row>
    <row r="359">
      <c r="A359" s="11">
        <v>45825</v>
      </c>
      <c r="B359" s="15">
        <v>45825</v>
      </c>
      <c r="C359" s="66" t="s">
        <v>335</v>
      </c>
      <c r="D359" s="19">
        <v>-10</v>
      </c>
      <c r="E359" s="19"/>
      <c r="F359" s="19">
        <f>=IF(F358&lt;&gt;"NA",F358+D359+E359,"NA")</f>
      </c>
      <c r="G359" s="45" t="s">
        <v>7</v>
      </c>
    </row>
    <row r="360">
      <c r="A360" s="13">
        <v>45825</v>
      </c>
      <c r="B360" s="16">
        <v>45825</v>
      </c>
      <c r="C360" s="57" t="s">
        <v>336</v>
      </c>
      <c r="D360" s="18">
        <v>-10</v>
      </c>
      <c r="E360" s="18"/>
      <c r="F360" s="18">
        <f>=IF(F359&lt;&gt;"NA",F359+D360+E360,"NA")</f>
      </c>
      <c r="G360" s="44" t="s">
        <v>7</v>
      </c>
    </row>
    <row r="361">
      <c r="A361" s="11">
        <v>45825</v>
      </c>
      <c r="B361" s="15">
        <v>45825</v>
      </c>
      <c r="C361" s="66" t="s">
        <v>337</v>
      </c>
      <c r="D361" s="19">
        <v>-7.49</v>
      </c>
      <c r="E361" s="19"/>
      <c r="F361" s="19">
        <f>=IF(F360&lt;&gt;"NA",F360+D361+E361,"NA")</f>
      </c>
      <c r="G361" s="45" t="s">
        <v>7</v>
      </c>
    </row>
    <row r="362">
      <c r="A362" s="13">
        <v>45826</v>
      </c>
      <c r="B362" s="16">
        <v>45826</v>
      </c>
      <c r="C362" s="57" t="s">
        <v>338</v>
      </c>
      <c r="D362" s="18"/>
      <c r="E362" s="18">
        <v>200</v>
      </c>
      <c r="F362" s="18">
        <f>=IF(F361&lt;&gt;"NA",F361+D362+E362,"NA")</f>
      </c>
      <c r="G362" s="44" t="s">
        <v>7</v>
      </c>
    </row>
    <row r="363">
      <c r="A363" s="11">
        <v>45828</v>
      </c>
      <c r="B363" s="15">
        <v>45828</v>
      </c>
      <c r="C363" s="66" t="s">
        <v>339</v>
      </c>
      <c r="D363" s="19">
        <v>-0.5</v>
      </c>
      <c r="E363" s="19"/>
      <c r="F363" s="19">
        <f>=IF(F362&lt;&gt;"NA",F362+D363+E363,"NA")</f>
      </c>
      <c r="G363" s="45" t="s">
        <v>7</v>
      </c>
    </row>
    <row r="364">
      <c r="A364" s="13">
        <v>45831</v>
      </c>
      <c r="B364" s="16">
        <v>45831</v>
      </c>
      <c r="C364" s="57" t="s">
        <v>340</v>
      </c>
      <c r="D364" s="18">
        <v>-8.66</v>
      </c>
      <c r="E364" s="18"/>
      <c r="F364" s="18">
        <f>=IF(F363&lt;&gt;"NA",F363+D364+E364,"NA")</f>
      </c>
      <c r="G364" s="44" t="s">
        <v>7</v>
      </c>
    </row>
    <row r="365">
      <c r="A365" s="11">
        <v>45831</v>
      </c>
      <c r="B365" s="15">
        <v>45831</v>
      </c>
      <c r="C365" s="66" t="s">
        <v>341</v>
      </c>
      <c r="D365" s="19">
        <v>-287.26</v>
      </c>
      <c r="E365" s="19"/>
      <c r="F365" s="19">
        <f>=IF(F364&lt;&gt;"NA",F364+D365+E365,"NA")</f>
      </c>
      <c r="G365" s="45" t="s">
        <v>7</v>
      </c>
    </row>
    <row r="366">
      <c r="A366" s="13">
        <v>45831</v>
      </c>
      <c r="B366" s="16">
        <v>45831</v>
      </c>
      <c r="C366" s="57" t="s">
        <v>342</v>
      </c>
      <c r="D366" s="18">
        <v>-380.7</v>
      </c>
      <c r="E366" s="18"/>
      <c r="F366" s="18">
        <f>=IF(F365&lt;&gt;"NA",F365+D366+E366,"NA")</f>
      </c>
      <c r="G366" s="44" t="s">
        <v>7</v>
      </c>
    </row>
    <row r="367">
      <c r="A367" s="11">
        <v>45832</v>
      </c>
      <c r="B367" s="15">
        <v>45832</v>
      </c>
      <c r="C367" s="66" t="s">
        <v>343</v>
      </c>
      <c r="D367" s="19"/>
      <c r="E367" s="19">
        <v>400</v>
      </c>
      <c r="F367" s="19">
        <f>=IF(F366&lt;&gt;"NA",F366+D367+E367,"NA")</f>
      </c>
      <c r="G367" s="45" t="s">
        <v>7</v>
      </c>
    </row>
    <row r="368">
      <c r="A368" s="13">
        <v>45832</v>
      </c>
      <c r="B368" s="16">
        <v>45832</v>
      </c>
      <c r="C368" s="57" t="s">
        <v>344</v>
      </c>
      <c r="D368" s="18">
        <v>-26.02</v>
      </c>
      <c r="E368" s="18"/>
      <c r="F368" s="18">
        <f>=IF(F367&lt;&gt;"NA",F367+D368+E368,"NA")</f>
      </c>
      <c r="G368" s="44" t="s">
        <v>7</v>
      </c>
    </row>
    <row r="369">
      <c r="A369" s="11">
        <v>45835</v>
      </c>
      <c r="B369" s="15">
        <v>45835</v>
      </c>
      <c r="C369" s="66" t="s">
        <v>345</v>
      </c>
      <c r="D369" s="19">
        <v>-1042</v>
      </c>
      <c r="E369" s="19"/>
      <c r="F369" s="19">
        <f>=IF(F368&lt;&gt;"NA",F368+D369+E369,"NA")</f>
      </c>
      <c r="G369" s="45" t="s">
        <v>7</v>
      </c>
    </row>
    <row r="370">
      <c r="A370" s="13">
        <v>45838</v>
      </c>
      <c r="B370" s="16">
        <v>45838</v>
      </c>
      <c r="C370" s="57" t="s">
        <v>183</v>
      </c>
      <c r="D370" s="18">
        <v>-332.58</v>
      </c>
      <c r="E370" s="18"/>
      <c r="F370" s="18">
        <f>=IF(F369&lt;&gt;"NA",F369+D370+E370,"NA")</f>
      </c>
      <c r="G370" s="44" t="s">
        <v>7</v>
      </c>
    </row>
    <row r="371">
      <c r="A371" s="11">
        <v>45838</v>
      </c>
      <c r="B371" s="15">
        <v>45838</v>
      </c>
      <c r="C371" s="66" t="s">
        <v>346</v>
      </c>
      <c r="D371" s="19"/>
      <c r="E371" s="19">
        <v>1000</v>
      </c>
      <c r="F371" s="19">
        <f>=IF(F370&lt;&gt;"NA",F370+D371+E371,"NA")</f>
      </c>
      <c r="G371" s="45" t="s">
        <v>7</v>
      </c>
    </row>
    <row r="372">
      <c r="A372" s="13">
        <v>45838</v>
      </c>
      <c r="B372" s="16">
        <v>45838</v>
      </c>
      <c r="C372" s="57" t="s">
        <v>347</v>
      </c>
      <c r="D372" s="18">
        <v>-10.5</v>
      </c>
      <c r="E372" s="18"/>
      <c r="F372" s="18">
        <f>=IF(F371&lt;&gt;"NA",F371+D372+E372,"NA")</f>
      </c>
      <c r="G372" s="44" t="s">
        <v>7</v>
      </c>
    </row>
    <row r="373">
      <c r="A373" s="11">
        <v>45838</v>
      </c>
      <c r="B373" s="15">
        <v>45838</v>
      </c>
      <c r="C373" s="66" t="s">
        <v>348</v>
      </c>
      <c r="D373" s="19">
        <v>-10</v>
      </c>
      <c r="E373" s="19"/>
      <c r="F373" s="19">
        <f>=IF(F372&lt;&gt;"NA",F372+D373+E373,"NA")</f>
      </c>
      <c r="G373" s="45" t="s">
        <v>7</v>
      </c>
    </row>
    <row r="374">
      <c r="A374" s="13">
        <v>45838</v>
      </c>
      <c r="B374" s="16">
        <v>45838</v>
      </c>
      <c r="C374" s="57" t="s">
        <v>349</v>
      </c>
      <c r="D374" s="18">
        <v>-12.5</v>
      </c>
      <c r="E374" s="18"/>
      <c r="F374" s="18">
        <f>=IF(F373&lt;&gt;"NA",F373+D374+E374,"NA")</f>
      </c>
      <c r="G374" s="44" t="s">
        <v>7</v>
      </c>
    </row>
    <row r="375">
      <c r="A375" s="11">
        <v>45839</v>
      </c>
      <c r="B375" s="15">
        <v>45839</v>
      </c>
      <c r="C375" s="66" t="s">
        <v>350</v>
      </c>
      <c r="D375" s="19">
        <v>-1278.79</v>
      </c>
      <c r="E375" s="19"/>
      <c r="F375" s="19">
        <f>=IF(F374&lt;&gt;"NA",F374+D375+E375,"NA")</f>
      </c>
      <c r="G375" s="45" t="s">
        <v>7</v>
      </c>
    </row>
    <row r="376">
      <c r="A376" s="13">
        <v>45841</v>
      </c>
      <c r="B376" s="16">
        <v>45841</v>
      </c>
      <c r="C376" s="57" t="s">
        <v>351</v>
      </c>
      <c r="D376" s="18">
        <v>-68.39</v>
      </c>
      <c r="E376" s="18"/>
      <c r="F376" s="18">
        <f>=IF(F375&lt;&gt;"NA",F375+D376+E376,"NA")</f>
      </c>
      <c r="G376" s="44" t="s">
        <v>7</v>
      </c>
    </row>
    <row r="377">
      <c r="A377" s="11">
        <v>45842</v>
      </c>
      <c r="B377" s="15">
        <v>45842</v>
      </c>
      <c r="C377" s="66" t="s">
        <v>352</v>
      </c>
      <c r="D377" s="19">
        <v>-123.72</v>
      </c>
      <c r="E377" s="19"/>
      <c r="F377" s="19">
        <f>=IF(F376&lt;&gt;"NA",F376+D377+E377,"NA")</f>
      </c>
      <c r="G377" s="45" t="s">
        <v>7</v>
      </c>
    </row>
    <row r="378">
      <c r="A378" s="13">
        <v>45845</v>
      </c>
      <c r="B378" s="16">
        <v>45845</v>
      </c>
      <c r="C378" s="57" t="s">
        <v>353</v>
      </c>
      <c r="D378" s="18"/>
      <c r="E378" s="18">
        <v>1500</v>
      </c>
      <c r="F378" s="18">
        <f>=IF(F377&lt;&gt;"NA",F377+D378+E378,"NA")</f>
      </c>
      <c r="G378" s="44" t="s">
        <v>7</v>
      </c>
    </row>
    <row r="379">
      <c r="A379" s="11">
        <v>45845</v>
      </c>
      <c r="B379" s="15">
        <v>45845</v>
      </c>
      <c r="C379" s="66" t="s">
        <v>354</v>
      </c>
      <c r="D379" s="19">
        <v>-23.17</v>
      </c>
      <c r="E379" s="19"/>
      <c r="F379" s="19">
        <f>=IF(F378&lt;&gt;"NA",F378+D379+E379,"NA")</f>
      </c>
      <c r="G379" s="45" t="s">
        <v>7</v>
      </c>
    </row>
    <row r="380">
      <c r="A380" s="13">
        <v>45845</v>
      </c>
      <c r="B380" s="16">
        <v>45845</v>
      </c>
      <c r="C380" s="57" t="s">
        <v>355</v>
      </c>
      <c r="D380" s="18">
        <v>-69.07</v>
      </c>
      <c r="E380" s="18"/>
      <c r="F380" s="18">
        <f>=IF(F379&lt;&gt;"NA",F379+D380+E380,"NA")</f>
      </c>
      <c r="G380" s="44" t="s">
        <v>7</v>
      </c>
    </row>
    <row r="381">
      <c r="A381" s="11">
        <v>45845</v>
      </c>
      <c r="B381" s="15">
        <v>45845</v>
      </c>
      <c r="C381" s="66" t="s">
        <v>356</v>
      </c>
      <c r="D381" s="19">
        <v>-96.62</v>
      </c>
      <c r="E381" s="19"/>
      <c r="F381" s="19">
        <f>=IF(F380&lt;&gt;"NA",F380+D381+E381,"NA")</f>
      </c>
      <c r="G381" s="45" t="s">
        <v>7</v>
      </c>
    </row>
    <row r="382">
      <c r="A382" s="13">
        <v>45845</v>
      </c>
      <c r="B382" s="16">
        <v>45845</v>
      </c>
      <c r="C382" s="57" t="s">
        <v>29</v>
      </c>
      <c r="D382" s="18">
        <v>-1280</v>
      </c>
      <c r="E382" s="18"/>
      <c r="F382" s="18">
        <f>=IF(F381&lt;&gt;"NA",F381+D382+E382,"NA")</f>
      </c>
      <c r="G382" s="44" t="s">
        <v>7</v>
      </c>
    </row>
    <row r="383">
      <c r="A383" s="11">
        <v>45845</v>
      </c>
      <c r="B383" s="15">
        <v>45845</v>
      </c>
      <c r="C383" s="66" t="s">
        <v>28</v>
      </c>
      <c r="D383" s="19">
        <v>-823.91</v>
      </c>
      <c r="E383" s="19"/>
      <c r="F383" s="19">
        <f>=IF(F382&lt;&gt;"NA",F382+D383+E383,"NA")</f>
      </c>
      <c r="G383" s="45" t="s">
        <v>7</v>
      </c>
    </row>
    <row r="384">
      <c r="A384" s="13">
        <v>45845</v>
      </c>
      <c r="B384" s="16">
        <v>45845</v>
      </c>
      <c r="C384" s="57" t="s">
        <v>36</v>
      </c>
      <c r="D384" s="18">
        <v>-30.99</v>
      </c>
      <c r="E384" s="18"/>
      <c r="F384" s="18">
        <f>=IF(F383&lt;&gt;"NA",F383+D384+E384,"NA")</f>
      </c>
      <c r="G384" s="44" t="s">
        <v>7</v>
      </c>
    </row>
    <row r="385">
      <c r="A385" s="11">
        <v>45845</v>
      </c>
      <c r="B385" s="15">
        <v>45845</v>
      </c>
      <c r="C385" s="66" t="s">
        <v>357</v>
      </c>
      <c r="D385" s="19">
        <v>-468.66</v>
      </c>
      <c r="E385" s="19"/>
      <c r="F385" s="19">
        <f>=IF(F384&lt;&gt;"NA",F384+D385+E385,"NA")</f>
      </c>
      <c r="G385" s="45" t="s">
        <v>7</v>
      </c>
    </row>
    <row r="386">
      <c r="A386" s="13">
        <v>45845</v>
      </c>
      <c r="B386" s="16">
        <v>45845</v>
      </c>
      <c r="C386" s="57" t="s">
        <v>358</v>
      </c>
      <c r="D386" s="18">
        <v>-0.82</v>
      </c>
      <c r="E386" s="18"/>
      <c r="F386" s="18">
        <f>=IF(F385&lt;&gt;"NA",F385+D386+E386,"NA")</f>
      </c>
      <c r="G386" s="44" t="s">
        <v>7</v>
      </c>
    </row>
    <row r="387">
      <c r="A387" s="11">
        <v>45845</v>
      </c>
      <c r="B387" s="15">
        <v>45845</v>
      </c>
      <c r="C387" s="66" t="s">
        <v>359</v>
      </c>
      <c r="D387" s="19">
        <v>-17.04</v>
      </c>
      <c r="E387" s="19"/>
      <c r="F387" s="19">
        <f>=IF(F386&lt;&gt;"NA",F386+D387+E387,"NA")</f>
      </c>
      <c r="G387" s="45" t="s">
        <v>7</v>
      </c>
    </row>
    <row r="388">
      <c r="A388" s="13">
        <v>45845</v>
      </c>
      <c r="B388" s="16">
        <v>45845</v>
      </c>
      <c r="C388" s="57" t="s">
        <v>360</v>
      </c>
      <c r="D388" s="18">
        <v>-12.47</v>
      </c>
      <c r="E388" s="18"/>
      <c r="F388" s="18">
        <f>=IF(F387&lt;&gt;"NA",F387+D388+E388,"NA")</f>
      </c>
      <c r="G388" s="44" t="s">
        <v>7</v>
      </c>
    </row>
    <row r="389">
      <c r="A389" s="11">
        <v>45845</v>
      </c>
      <c r="B389" s="15">
        <v>45845</v>
      </c>
      <c r="C389" s="66" t="s">
        <v>361</v>
      </c>
      <c r="D389" s="19">
        <v>-1.76</v>
      </c>
      <c r="E389" s="19"/>
      <c r="F389" s="19">
        <f>=IF(F388&lt;&gt;"NA",F388+D389+E389,"NA")</f>
      </c>
      <c r="G389" s="45" t="s">
        <v>7</v>
      </c>
    </row>
    <row r="390">
      <c r="A390" s="13">
        <v>45845</v>
      </c>
      <c r="B390" s="16">
        <v>45845</v>
      </c>
      <c r="C390" s="57" t="s">
        <v>362</v>
      </c>
      <c r="D390" s="18">
        <v>-49.31</v>
      </c>
      <c r="E390" s="18"/>
      <c r="F390" s="18">
        <f>=IF(F389&lt;&gt;"NA",F389+D390+E390,"NA")</f>
      </c>
      <c r="G390" s="44" t="s">
        <v>7</v>
      </c>
    </row>
    <row r="391">
      <c r="A391" s="11">
        <v>45845</v>
      </c>
      <c r="B391" s="15">
        <v>45845</v>
      </c>
      <c r="C391" s="66" t="s">
        <v>363</v>
      </c>
      <c r="D391" s="19">
        <v>-19.97</v>
      </c>
      <c r="E391" s="19"/>
      <c r="F391" s="19">
        <f>=IF(F390&lt;&gt;"NA",F390+D391+E391,"NA")</f>
      </c>
      <c r="G391" s="45" t="s">
        <v>7</v>
      </c>
    </row>
    <row r="392">
      <c r="A392" s="13">
        <v>45845</v>
      </c>
      <c r="B392" s="16">
        <v>45845</v>
      </c>
      <c r="C392" s="57" t="s">
        <v>364</v>
      </c>
      <c r="D392" s="18">
        <v>-2.8</v>
      </c>
      <c r="E392" s="18"/>
      <c r="F392" s="18">
        <f>=IF(F391&lt;&gt;"NA",F391+D392+E392,"NA")</f>
      </c>
      <c r="G392" s="44" t="s">
        <v>7</v>
      </c>
    </row>
    <row r="393">
      <c r="A393" s="11">
        <v>45845</v>
      </c>
      <c r="B393" s="15">
        <v>45845</v>
      </c>
      <c r="C393" s="66" t="s">
        <v>365</v>
      </c>
      <c r="D393" s="19">
        <v>-85.19</v>
      </c>
      <c r="E393" s="19"/>
      <c r="F393" s="19">
        <f>=IF(F392&lt;&gt;"NA",F392+D393+E393,"NA")</f>
      </c>
      <c r="G393" s="45" t="s">
        <v>7</v>
      </c>
    </row>
    <row r="394">
      <c r="A394" s="13">
        <v>45848</v>
      </c>
      <c r="B394" s="16">
        <v>45839</v>
      </c>
      <c r="C394" s="57" t="s">
        <v>366</v>
      </c>
      <c r="D394" s="18">
        <v>-38.13</v>
      </c>
      <c r="E394" s="18"/>
      <c r="F394" s="18">
        <f>=IF(F393&lt;&gt;"NA",F393+D394+E394,"NA")</f>
      </c>
      <c r="G394" s="44" t="s">
        <v>7</v>
      </c>
    </row>
    <row r="395">
      <c r="A395" s="11">
        <v>45848</v>
      </c>
      <c r="B395" s="15">
        <v>45848</v>
      </c>
      <c r="C395" s="66" t="s">
        <v>367</v>
      </c>
      <c r="D395" s="19">
        <v>-51.38</v>
      </c>
      <c r="E395" s="19"/>
      <c r="F395" s="19">
        <f>=IF(F394&lt;&gt;"NA",F394+D395+E395,"NA")</f>
      </c>
      <c r="G395" s="45" t="s">
        <v>7</v>
      </c>
    </row>
    <row r="396">
      <c r="A396" s="13">
        <v>45848</v>
      </c>
      <c r="B396" s="16">
        <v>45848</v>
      </c>
      <c r="C396" s="57" t="s">
        <v>118</v>
      </c>
      <c r="D396" s="18">
        <v>-156.38</v>
      </c>
      <c r="E396" s="18"/>
      <c r="F396" s="18">
        <f>=IF(F395&lt;&gt;"NA",F395+D396+E396,"NA")</f>
      </c>
      <c r="G396" s="44" t="s">
        <v>7</v>
      </c>
    </row>
    <row r="397">
      <c r="A397" s="11">
        <v>45852</v>
      </c>
      <c r="B397" s="15">
        <v>45852</v>
      </c>
      <c r="C397" s="66" t="s">
        <v>368</v>
      </c>
      <c r="D397" s="19">
        <v>-76.27</v>
      </c>
      <c r="E397" s="19"/>
      <c r="F397" s="19">
        <f>=IF(F396&lt;&gt;"NA",F396+D397+E397,"NA")</f>
      </c>
      <c r="G397" s="45" t="s">
        <v>7</v>
      </c>
    </row>
    <row r="398">
      <c r="A398" s="13">
        <v>45853</v>
      </c>
      <c r="B398" s="16">
        <v>45853</v>
      </c>
      <c r="C398" s="57" t="s">
        <v>369</v>
      </c>
      <c r="D398" s="18">
        <v>-2.82</v>
      </c>
      <c r="E398" s="18"/>
      <c r="F398" s="18">
        <f>=IF(F397&lt;&gt;"NA",F397+D398+E398,"NA")</f>
      </c>
      <c r="G398" s="44" t="s">
        <v>7</v>
      </c>
    </row>
    <row r="399">
      <c r="A399" s="11">
        <v>45853</v>
      </c>
      <c r="B399" s="15">
        <v>45853</v>
      </c>
      <c r="C399" s="66" t="s">
        <v>370</v>
      </c>
      <c r="D399" s="19">
        <v>-85.77</v>
      </c>
      <c r="E399" s="19"/>
      <c r="F399" s="19">
        <f>=IF(F398&lt;&gt;"NA",F398+D399+E399,"NA")</f>
      </c>
      <c r="G399" s="45" t="s">
        <v>7</v>
      </c>
    </row>
    <row r="400">
      <c r="A400" s="13">
        <v>45854</v>
      </c>
      <c r="B400" s="16">
        <v>45854</v>
      </c>
      <c r="C400" s="57" t="s">
        <v>371</v>
      </c>
      <c r="D400" s="18"/>
      <c r="E400" s="18">
        <v>500</v>
      </c>
      <c r="F400" s="18">
        <f>=IF(F399&lt;&gt;"NA",F399+D400+E400,"NA")</f>
      </c>
      <c r="G400" s="44" t="s">
        <v>7</v>
      </c>
    </row>
    <row r="401">
      <c r="A401" s="11">
        <v>45854</v>
      </c>
      <c r="B401" s="15">
        <v>45854</v>
      </c>
      <c r="C401" s="66" t="s">
        <v>372</v>
      </c>
      <c r="D401" s="19">
        <v>-12</v>
      </c>
      <c r="E401" s="19"/>
      <c r="F401" s="19">
        <f>=IF(F400&lt;&gt;"NA",F400+D401+E401,"NA")</f>
      </c>
      <c r="G401" s="45" t="s">
        <v>7</v>
      </c>
    </row>
    <row r="402">
      <c r="A402" s="13">
        <v>45854</v>
      </c>
      <c r="B402" s="16">
        <v>45854</v>
      </c>
      <c r="C402" s="57" t="s">
        <v>373</v>
      </c>
      <c r="D402" s="18"/>
      <c r="E402" s="18">
        <v>573</v>
      </c>
      <c r="F402" s="18">
        <f>=IF(F401&lt;&gt;"NA",F401+D402+E402,"NA")</f>
      </c>
      <c r="G402" s="44" t="s">
        <v>7</v>
      </c>
    </row>
    <row r="403">
      <c r="A403" s="11">
        <v>45860</v>
      </c>
      <c r="B403" s="15">
        <v>45860</v>
      </c>
      <c r="C403" s="66" t="s">
        <v>374</v>
      </c>
      <c r="D403" s="19">
        <v>-141.9</v>
      </c>
      <c r="E403" s="19"/>
      <c r="F403" s="19">
        <f>=IF(F402&lt;&gt;"NA",F402+D403+E403,"NA")</f>
      </c>
      <c r="G403" s="45" t="s">
        <v>7</v>
      </c>
    </row>
    <row r="404">
      <c r="A404" s="13">
        <v>45860</v>
      </c>
      <c r="B404" s="16">
        <v>45860</v>
      </c>
      <c r="C404" s="57" t="s">
        <v>375</v>
      </c>
      <c r="D404" s="18">
        <v>-19.48</v>
      </c>
      <c r="E404" s="18"/>
      <c r="F404" s="18">
        <f>=IF(F403&lt;&gt;"NA",F403+D404+E404,"NA")</f>
      </c>
      <c r="G404" s="44" t="s">
        <v>7</v>
      </c>
    </row>
    <row r="405">
      <c r="A405" s="11">
        <v>45860</v>
      </c>
      <c r="B405" s="15">
        <v>45860</v>
      </c>
      <c r="C405" s="66" t="s">
        <v>376</v>
      </c>
      <c r="D405" s="19">
        <v>-167.8</v>
      </c>
      <c r="E405" s="19"/>
      <c r="F405" s="19">
        <f>=IF(F404&lt;&gt;"NA",F404+D405+E405,"NA")</f>
      </c>
      <c r="G405" s="45" t="s">
        <v>7</v>
      </c>
    </row>
    <row r="406">
      <c r="A406" s="13">
        <v>45861</v>
      </c>
      <c r="B406" s="16">
        <v>45861</v>
      </c>
      <c r="C406" s="57" t="s">
        <v>377</v>
      </c>
      <c r="D406" s="18">
        <v>-2.82</v>
      </c>
      <c r="E406" s="18"/>
      <c r="F406" s="18">
        <f>=IF(F405&lt;&gt;"NA",F405+D406+E406,"NA")</f>
      </c>
      <c r="G406" s="44" t="s">
        <v>7</v>
      </c>
    </row>
    <row r="407">
      <c r="A407" s="11">
        <v>45861</v>
      </c>
      <c r="B407" s="15">
        <v>45861</v>
      </c>
      <c r="C407" s="66" t="s">
        <v>378</v>
      </c>
      <c r="D407" s="19">
        <v>-85.71</v>
      </c>
      <c r="E407" s="19"/>
      <c r="F407" s="19">
        <f>=IF(F406&lt;&gt;"NA",F406+D407+E407,"NA")</f>
      </c>
      <c r="G407" s="45" t="s">
        <v>7</v>
      </c>
    </row>
    <row r="408">
      <c r="A408" s="13">
        <v>45862</v>
      </c>
      <c r="B408" s="16">
        <v>45862</v>
      </c>
      <c r="C408" s="57" t="s">
        <v>379</v>
      </c>
      <c r="D408" s="18">
        <v>-813.45</v>
      </c>
      <c r="E408" s="18"/>
      <c r="F408" s="18">
        <f>=IF(F407&lt;&gt;"NA",F407+D408+E408,"NA")</f>
      </c>
      <c r="G408" s="44" t="s">
        <v>7</v>
      </c>
    </row>
    <row r="409">
      <c r="A409" s="11">
        <v>45862</v>
      </c>
      <c r="B409" s="15">
        <v>45862</v>
      </c>
      <c r="C409" s="66" t="s">
        <v>380</v>
      </c>
      <c r="D409" s="19">
        <v>-90</v>
      </c>
      <c r="E409" s="19"/>
      <c r="F409" s="19">
        <f>=IF(F408&lt;&gt;"NA",F408+D409+E409,"NA")</f>
      </c>
      <c r="G409" s="45" t="s">
        <v>7</v>
      </c>
    </row>
    <row r="410">
      <c r="A410" s="13">
        <v>45862</v>
      </c>
      <c r="B410" s="16">
        <v>45862</v>
      </c>
      <c r="C410" s="57" t="s">
        <v>173</v>
      </c>
      <c r="D410" s="18">
        <v>-9.9</v>
      </c>
      <c r="E410" s="18"/>
      <c r="F410" s="18">
        <f>=IF(F409&lt;&gt;"NA",F409+D410+E410,"NA")</f>
      </c>
      <c r="G410" s="44" t="s">
        <v>7</v>
      </c>
    </row>
    <row r="411">
      <c r="A411" s="11">
        <v>45863</v>
      </c>
      <c r="B411" s="15">
        <v>45863</v>
      </c>
      <c r="C411" s="66" t="s">
        <v>142</v>
      </c>
      <c r="D411" s="19">
        <v>-46.72</v>
      </c>
      <c r="E411" s="19"/>
      <c r="F411" s="19">
        <f>=IF(F410&lt;&gt;"NA",F410+D411+E411,"NA")</f>
      </c>
      <c r="G411" s="45" t="s">
        <v>7</v>
      </c>
    </row>
    <row r="412">
      <c r="A412" s="13">
        <v>45863</v>
      </c>
      <c r="B412" s="16">
        <v>45863</v>
      </c>
      <c r="C412" s="57" t="s">
        <v>381</v>
      </c>
      <c r="D412" s="18"/>
      <c r="E412" s="18">
        <v>46.72</v>
      </c>
      <c r="F412" s="18">
        <f>=IF(F411&lt;&gt;"NA",F411+D412+E412,"NA")</f>
      </c>
      <c r="G412" s="44" t="s">
        <v>7</v>
      </c>
    </row>
    <row r="413">
      <c r="A413" s="11">
        <v>45863</v>
      </c>
      <c r="B413" s="15">
        <v>45863</v>
      </c>
      <c r="C413" s="66" t="s">
        <v>382</v>
      </c>
      <c r="D413" s="19"/>
      <c r="E413" s="19">
        <v>330</v>
      </c>
      <c r="F413" s="19">
        <f>=IF(F412&lt;&gt;"NA",F412+D413+E413,"NA")</f>
      </c>
      <c r="G413" s="45" t="s">
        <v>7</v>
      </c>
    </row>
    <row r="414">
      <c r="A414" s="13">
        <v>45863</v>
      </c>
      <c r="B414" s="16">
        <v>45863</v>
      </c>
      <c r="C414" s="57" t="s">
        <v>383</v>
      </c>
      <c r="D414" s="18">
        <v>-20</v>
      </c>
      <c r="E414" s="18"/>
      <c r="F414" s="18">
        <f>=IF(F413&lt;&gt;"NA",F413+D414+E414,"NA")</f>
      </c>
      <c r="G414" s="44" t="s">
        <v>7</v>
      </c>
    </row>
    <row r="415">
      <c r="A415" s="11">
        <v>45866</v>
      </c>
      <c r="B415" s="15">
        <v>45866</v>
      </c>
      <c r="C415" s="66" t="s">
        <v>384</v>
      </c>
      <c r="D415" s="19"/>
      <c r="E415" s="19">
        <v>400</v>
      </c>
      <c r="F415" s="19">
        <f>=IF(F414&lt;&gt;"NA",F414+D415+E415,"NA")</f>
      </c>
      <c r="G415" s="45" t="s">
        <v>7</v>
      </c>
    </row>
    <row r="416">
      <c r="A416" s="13">
        <v>45866</v>
      </c>
      <c r="B416" s="16">
        <v>45866</v>
      </c>
      <c r="C416" s="57" t="s">
        <v>385</v>
      </c>
      <c r="D416" s="18">
        <v>-12.48</v>
      </c>
      <c r="E416" s="18"/>
      <c r="F416" s="18">
        <f>=IF(F415&lt;&gt;"NA",F415+D416+E416,"NA")</f>
      </c>
      <c r="G416" s="44" t="s">
        <v>7</v>
      </c>
    </row>
    <row r="417">
      <c r="A417" s="11">
        <v>45867</v>
      </c>
      <c r="B417" s="15">
        <v>45867</v>
      </c>
      <c r="C417" s="66" t="s">
        <v>386</v>
      </c>
      <c r="D417" s="19">
        <v>-273</v>
      </c>
      <c r="E417" s="19"/>
      <c r="F417" s="19">
        <f>=IF(F416&lt;&gt;"NA",F416+D417+E417,"NA")</f>
      </c>
      <c r="G417" s="45" t="s">
        <v>7</v>
      </c>
    </row>
    <row r="418">
      <c r="A418" s="13">
        <v>45868</v>
      </c>
      <c r="B418" s="16">
        <v>45868</v>
      </c>
      <c r="C418" s="57" t="s">
        <v>183</v>
      </c>
      <c r="D418" s="18">
        <v>-332.58</v>
      </c>
      <c r="E418" s="18"/>
      <c r="F418" s="18">
        <f>=IF(F417&lt;&gt;"NA",F417+D418+E418,"NA")</f>
      </c>
      <c r="G418" s="44" t="s">
        <v>7</v>
      </c>
    </row>
    <row r="419">
      <c r="A419" s="11">
        <v>45868</v>
      </c>
      <c r="B419" s="15">
        <v>45868</v>
      </c>
      <c r="C419" s="66" t="s">
        <v>387</v>
      </c>
      <c r="D419" s="19">
        <v>-0.83</v>
      </c>
      <c r="E419" s="19"/>
      <c r="F419" s="19">
        <f>=IF(F418&lt;&gt;"NA",F418+D419+E419,"NA")</f>
      </c>
      <c r="G419" s="45" t="s">
        <v>7</v>
      </c>
    </row>
    <row r="420">
      <c r="A420" s="13">
        <v>45868</v>
      </c>
      <c r="B420" s="16">
        <v>45868</v>
      </c>
      <c r="C420" s="57" t="s">
        <v>388</v>
      </c>
      <c r="D420" s="18">
        <v>-17.23</v>
      </c>
      <c r="E420" s="18"/>
      <c r="F420" s="18">
        <f>=IF(F419&lt;&gt;"NA",F419+D420+E420,"NA")</f>
      </c>
      <c r="G420" s="44" t="s">
        <v>7</v>
      </c>
    </row>
    <row r="421">
      <c r="A421" s="11">
        <v>45869</v>
      </c>
      <c r="B421" s="15">
        <v>45869</v>
      </c>
      <c r="C421" s="66" t="s">
        <v>389</v>
      </c>
      <c r="D421" s="19"/>
      <c r="E421" s="19">
        <v>300</v>
      </c>
      <c r="F421" s="19">
        <f>=IF(F420&lt;&gt;"NA",F420+D421+E421,"NA")</f>
      </c>
      <c r="G421" s="45" t="s">
        <v>7</v>
      </c>
    </row>
    <row r="422">
      <c r="A422" s="13">
        <v>45869</v>
      </c>
      <c r="B422" s="16">
        <v>45869</v>
      </c>
      <c r="C422" s="57" t="s">
        <v>390</v>
      </c>
      <c r="D422" s="18"/>
      <c r="E422" s="18">
        <v>200</v>
      </c>
      <c r="F422" s="18">
        <f>=IF(F421&lt;&gt;"NA",F421+D422+E422,"NA")</f>
      </c>
      <c r="G422" s="44" t="s">
        <v>7</v>
      </c>
    </row>
    <row r="423">
      <c r="A423" s="11">
        <v>45869</v>
      </c>
      <c r="B423" s="15">
        <v>45869</v>
      </c>
      <c r="C423" s="66" t="s">
        <v>391</v>
      </c>
      <c r="D423" s="19">
        <v>-17.37</v>
      </c>
      <c r="E423" s="19"/>
      <c r="F423" s="19">
        <f>=IF(F422&lt;&gt;"NA",F422+D423+E423,"NA")</f>
      </c>
      <c r="G423" s="45" t="s">
        <v>7</v>
      </c>
    </row>
    <row r="424">
      <c r="A424" s="13">
        <v>45869</v>
      </c>
      <c r="B424" s="16">
        <v>45869</v>
      </c>
      <c r="C424" s="57" t="s">
        <v>392</v>
      </c>
      <c r="D424" s="18">
        <v>-0.83</v>
      </c>
      <c r="E424" s="18"/>
      <c r="F424" s="18">
        <f>=IF(F423&lt;&gt;"NA",F423+D424+E424,"NA")</f>
      </c>
      <c r="G424" s="44" t="s">
        <v>7</v>
      </c>
    </row>
    <row r="425">
      <c r="A425" s="11">
        <v>45870</v>
      </c>
      <c r="B425" s="15">
        <v>45870</v>
      </c>
      <c r="C425" s="66" t="s">
        <v>393</v>
      </c>
      <c r="D425" s="19"/>
      <c r="E425" s="19">
        <v>67.79</v>
      </c>
      <c r="F425" s="19">
        <f>=IF(F424&lt;&gt;"NA",F424+D425+E425,"NA")</f>
      </c>
      <c r="G425" s="45" t="s">
        <v>7</v>
      </c>
    </row>
    <row r="426">
      <c r="A426" s="13">
        <v>45870</v>
      </c>
      <c r="B426" s="16">
        <v>45870</v>
      </c>
      <c r="C426" s="57" t="s">
        <v>394</v>
      </c>
      <c r="D426" s="18">
        <v>-482.23</v>
      </c>
      <c r="E426" s="18"/>
      <c r="F426" s="18">
        <f>=IF(F425&lt;&gt;"NA",F425+D426+E426,"NA")</f>
      </c>
      <c r="G426" s="44" t="s">
        <v>7</v>
      </c>
    </row>
    <row r="427">
      <c r="A427" s="11">
        <v>45871</v>
      </c>
      <c r="B427" s="15">
        <v>45871</v>
      </c>
      <c r="C427" s="66" t="s">
        <v>395</v>
      </c>
      <c r="D427" s="19"/>
      <c r="E427" s="19">
        <v>500</v>
      </c>
      <c r="F427" s="19">
        <f>=IF(F426&lt;&gt;"NA",F426+D427+E427,"NA")</f>
      </c>
      <c r="G427" s="45" t="s">
        <v>7</v>
      </c>
    </row>
    <row r="428">
      <c r="A428" s="13">
        <v>45871</v>
      </c>
      <c r="B428" s="16">
        <v>45871</v>
      </c>
      <c r="C428" s="57" t="s">
        <v>396</v>
      </c>
      <c r="D428" s="18"/>
      <c r="E428" s="18">
        <v>250</v>
      </c>
      <c r="F428" s="18">
        <f>=IF(F427&lt;&gt;"NA",F427+D428+E428,"NA")</f>
      </c>
      <c r="G428" s="44" t="s">
        <v>7</v>
      </c>
    </row>
    <row r="429">
      <c r="A429" s="11">
        <v>45873</v>
      </c>
      <c r="B429" s="15">
        <v>45873</v>
      </c>
      <c r="C429" s="66" t="s">
        <v>397</v>
      </c>
      <c r="D429" s="19">
        <v>-155.21</v>
      </c>
      <c r="E429" s="19"/>
      <c r="F429" s="19">
        <f>=IF(F428&lt;&gt;"NA",F428+D429+E429,"NA")</f>
      </c>
      <c r="G429" s="45" t="s">
        <v>7</v>
      </c>
    </row>
    <row r="430">
      <c r="A430" s="13">
        <v>45873</v>
      </c>
      <c r="B430" s="16">
        <v>45873</v>
      </c>
      <c r="C430" s="57" t="s">
        <v>233</v>
      </c>
      <c r="D430" s="18"/>
      <c r="E430" s="18">
        <v>3090</v>
      </c>
      <c r="F430" s="18">
        <f>=IF(F429&lt;&gt;"NA",F429+D430+E430,"NA")</f>
      </c>
      <c r="G430" s="44" t="s">
        <v>7</v>
      </c>
    </row>
    <row r="431">
      <c r="A431" s="11">
        <v>45873</v>
      </c>
      <c r="B431" s="15">
        <v>45873</v>
      </c>
      <c r="C431" s="66" t="s">
        <v>398</v>
      </c>
      <c r="D431" s="19">
        <v>-628.2</v>
      </c>
      <c r="E431" s="19"/>
      <c r="F431" s="19">
        <f>=IF(F430&lt;&gt;"NA",F430+D431+E431,"NA")</f>
      </c>
      <c r="G431" s="45" t="s">
        <v>7</v>
      </c>
    </row>
    <row r="432">
      <c r="A432" s="13">
        <v>45873</v>
      </c>
      <c r="B432" s="16">
        <v>45873</v>
      </c>
      <c r="C432" s="57" t="s">
        <v>399</v>
      </c>
      <c r="D432" s="18">
        <v>-293.68</v>
      </c>
      <c r="E432" s="18"/>
      <c r="F432" s="18">
        <f>=IF(F431&lt;&gt;"NA",F431+D432+E432,"NA")</f>
      </c>
      <c r="G432" s="44" t="s">
        <v>7</v>
      </c>
    </row>
    <row r="433">
      <c r="A433" s="11">
        <v>45873</v>
      </c>
      <c r="B433" s="15">
        <v>45873</v>
      </c>
      <c r="C433" s="66" t="s">
        <v>400</v>
      </c>
      <c r="D433" s="19">
        <v>-1280</v>
      </c>
      <c r="E433" s="19"/>
      <c r="F433" s="19">
        <f>=IF(F432&lt;&gt;"NA",F432+D433+E433,"NA")</f>
      </c>
      <c r="G433" s="45" t="s">
        <v>7</v>
      </c>
    </row>
    <row r="434">
      <c r="A434" s="13">
        <v>45873</v>
      </c>
      <c r="B434" s="16">
        <v>45873</v>
      </c>
      <c r="C434" s="57" t="s">
        <v>401</v>
      </c>
      <c r="D434" s="18"/>
      <c r="E434" s="18">
        <v>58.95</v>
      </c>
      <c r="F434" s="18">
        <f>=IF(F433&lt;&gt;"NA",F433+D434+E434,"NA")</f>
      </c>
      <c r="G434" s="44" t="s">
        <v>7</v>
      </c>
    </row>
    <row r="435">
      <c r="A435" s="11">
        <v>45874</v>
      </c>
      <c r="B435" s="15">
        <v>45874</v>
      </c>
      <c r="C435" s="66" t="s">
        <v>402</v>
      </c>
      <c r="D435" s="19">
        <v>-23.17</v>
      </c>
      <c r="E435" s="19"/>
      <c r="F435" s="19">
        <f>=IF(F434&lt;&gt;"NA",F434+D435+E435,"NA")</f>
      </c>
      <c r="G435" s="45" t="s">
        <v>7</v>
      </c>
    </row>
    <row r="436">
      <c r="A436" s="13">
        <v>45874</v>
      </c>
      <c r="B436" s="16">
        <v>45874</v>
      </c>
      <c r="C436" s="57" t="s">
        <v>403</v>
      </c>
      <c r="D436" s="18">
        <v>-69.07</v>
      </c>
      <c r="E436" s="18"/>
      <c r="F436" s="18">
        <f>=IF(F435&lt;&gt;"NA",F435+D436+E436,"NA")</f>
      </c>
      <c r="G436" s="44" t="s">
        <v>7</v>
      </c>
    </row>
    <row r="437">
      <c r="A437" s="11">
        <v>45874</v>
      </c>
      <c r="B437" s="15">
        <v>45874</v>
      </c>
      <c r="C437" s="66" t="s">
        <v>404</v>
      </c>
      <c r="D437" s="19">
        <v>-96.62</v>
      </c>
      <c r="E437" s="19"/>
      <c r="F437" s="19">
        <f>=IF(F436&lt;&gt;"NA",F436+D437+E437,"NA")</f>
      </c>
      <c r="G437" s="45" t="s">
        <v>7</v>
      </c>
    </row>
    <row r="438">
      <c r="A438" s="13">
        <v>45874</v>
      </c>
      <c r="B438" s="16">
        <v>45874</v>
      </c>
      <c r="C438" s="57" t="s">
        <v>405</v>
      </c>
      <c r="D438" s="18"/>
      <c r="E438" s="18">
        <v>1500</v>
      </c>
      <c r="F438" s="18">
        <f>=IF(F437&lt;&gt;"NA",F437+D438+E438,"NA")</f>
      </c>
      <c r="G438" s="44" t="s">
        <v>7</v>
      </c>
    </row>
    <row r="439">
      <c r="A439" s="11">
        <v>45874</v>
      </c>
      <c r="B439" s="15">
        <v>45874</v>
      </c>
      <c r="C439" s="66" t="s">
        <v>406</v>
      </c>
      <c r="D439" s="19"/>
      <c r="E439" s="19">
        <v>1.13</v>
      </c>
      <c r="F439" s="19">
        <f>=IF(F438&lt;&gt;"NA",F438+D439+E439,"NA")</f>
      </c>
      <c r="G439" s="45" t="s">
        <v>7</v>
      </c>
    </row>
    <row r="440">
      <c r="A440" s="13">
        <v>45874</v>
      </c>
      <c r="B440" s="16">
        <v>45870</v>
      </c>
      <c r="C440" s="57" t="s">
        <v>407</v>
      </c>
      <c r="D440" s="18"/>
      <c r="E440" s="18">
        <v>27.53</v>
      </c>
      <c r="F440" s="18">
        <f>=IF(F439&lt;&gt;"NA",F439+D440+E440,"NA")</f>
      </c>
      <c r="G440" s="44" t="s">
        <v>7</v>
      </c>
    </row>
    <row r="441">
      <c r="A441" s="11">
        <v>45874</v>
      </c>
      <c r="B441" s="15">
        <v>45874</v>
      </c>
      <c r="C441" s="66" t="s">
        <v>408</v>
      </c>
      <c r="D441" s="19"/>
      <c r="E441" s="19">
        <v>1.59</v>
      </c>
      <c r="F441" s="19">
        <f>=IF(F440&lt;&gt;"NA",F440+D441+E441,"NA")</f>
      </c>
      <c r="G441" s="45" t="s">
        <v>7</v>
      </c>
    </row>
    <row r="442">
      <c r="A442" s="13">
        <v>45874</v>
      </c>
      <c r="B442" s="16">
        <v>45870</v>
      </c>
      <c r="C442" s="57" t="s">
        <v>409</v>
      </c>
      <c r="D442" s="18"/>
      <c r="E442" s="18">
        <v>43.35</v>
      </c>
      <c r="F442" s="18">
        <f>=IF(F441&lt;&gt;"NA",F441+D442+E442,"NA")</f>
      </c>
      <c r="G442" s="44" t="s">
        <v>7</v>
      </c>
    </row>
    <row r="443">
      <c r="A443" s="11">
        <v>45874</v>
      </c>
      <c r="B443" s="15">
        <v>45874</v>
      </c>
      <c r="C443" s="66" t="s">
        <v>410</v>
      </c>
      <c r="D443" s="19">
        <v>-1.33</v>
      </c>
      <c r="E443" s="19"/>
      <c r="F443" s="19">
        <f>=IF(F442&lt;&gt;"NA",F442+D443+E443,"NA")</f>
      </c>
      <c r="G443" s="45" t="s">
        <v>7</v>
      </c>
    </row>
    <row r="444">
      <c r="A444" s="13">
        <v>45874</v>
      </c>
      <c r="B444" s="16">
        <v>45874</v>
      </c>
      <c r="C444" s="57" t="s">
        <v>411</v>
      </c>
      <c r="D444" s="18">
        <v>-34.64</v>
      </c>
      <c r="E444" s="18"/>
      <c r="F444" s="18">
        <f>=IF(F443&lt;&gt;"NA",F443+D444+E444,"NA")</f>
      </c>
      <c r="G444" s="44" t="s">
        <v>7</v>
      </c>
    </row>
    <row r="445">
      <c r="A445" s="11">
        <v>45874</v>
      </c>
      <c r="B445" s="15">
        <v>45874</v>
      </c>
      <c r="C445" s="66" t="s">
        <v>412</v>
      </c>
      <c r="D445" s="19">
        <v>-19.97</v>
      </c>
      <c r="E445" s="19"/>
      <c r="F445" s="19">
        <f>=IF(F444&lt;&gt;"NA",F444+D445+E445,"NA")</f>
      </c>
      <c r="G445" s="45" t="s">
        <v>7</v>
      </c>
    </row>
    <row r="446">
      <c r="A446" s="13">
        <v>45876</v>
      </c>
      <c r="B446" s="16">
        <v>45876</v>
      </c>
      <c r="C446" s="57" t="s">
        <v>36</v>
      </c>
      <c r="D446" s="18">
        <v>-31.96</v>
      </c>
      <c r="E446" s="18"/>
      <c r="F446" s="18">
        <f>=IF(F445&lt;&gt;"NA",F445+D446+E446,"NA")</f>
      </c>
      <c r="G446" s="44" t="s">
        <v>7</v>
      </c>
    </row>
    <row r="447">
      <c r="A447" s="11">
        <v>45876</v>
      </c>
      <c r="B447" s="15">
        <v>45876</v>
      </c>
      <c r="C447" s="66" t="s">
        <v>413</v>
      </c>
      <c r="D447" s="19">
        <v>-12.47</v>
      </c>
      <c r="E447" s="19"/>
      <c r="F447" s="19">
        <f>=IF(F446&lt;&gt;"NA",F446+D447+E447,"NA")</f>
      </c>
      <c r="G447" s="45" t="s">
        <v>7</v>
      </c>
    </row>
    <row r="448">
      <c r="A448" s="13">
        <v>45877</v>
      </c>
      <c r="B448" s="16">
        <v>45877</v>
      </c>
      <c r="C448" s="57" t="s">
        <v>414</v>
      </c>
      <c r="D448" s="18">
        <v>-0.58</v>
      </c>
      <c r="E448" s="18"/>
      <c r="F448" s="18">
        <f>=IF(F447&lt;&gt;"NA",F447+D448+E448,"NA")</f>
      </c>
      <c r="G448" s="44" t="s">
        <v>7</v>
      </c>
    </row>
    <row r="449">
      <c r="A449" s="11">
        <v>45877</v>
      </c>
      <c r="B449" s="15">
        <v>45877</v>
      </c>
      <c r="C449" s="66" t="s">
        <v>415</v>
      </c>
      <c r="D449" s="19">
        <v>-8.65</v>
      </c>
      <c r="E449" s="19"/>
      <c r="F449" s="19">
        <f>=IF(F448&lt;&gt;"NA",F448+D449+E449,"NA")</f>
      </c>
      <c r="G449" s="45" t="s">
        <v>7</v>
      </c>
    </row>
    <row r="450">
      <c r="A450" s="13">
        <v>45877</v>
      </c>
      <c r="B450" s="16">
        <v>45877</v>
      </c>
      <c r="C450" s="57" t="s">
        <v>416</v>
      </c>
      <c r="D450" s="18">
        <v>-9.9</v>
      </c>
      <c r="E450" s="18"/>
      <c r="F450" s="18">
        <f>=IF(F449&lt;&gt;"NA",F449+D450+E450,"NA")</f>
      </c>
      <c r="G450" s="44" t="s">
        <v>7</v>
      </c>
    </row>
    <row r="451">
      <c r="A451" s="11">
        <v>45880</v>
      </c>
      <c r="B451" s="15">
        <v>45870</v>
      </c>
      <c r="C451" s="66" t="s">
        <v>417</v>
      </c>
      <c r="D451" s="19">
        <v>-38.55</v>
      </c>
      <c r="E451" s="19"/>
      <c r="F451" s="19">
        <f>=IF(F450&lt;&gt;"NA",F450+D451+E451,"NA")</f>
      </c>
      <c r="G451" s="45" t="s">
        <v>7</v>
      </c>
    </row>
    <row r="452">
      <c r="A452" s="13">
        <v>45880</v>
      </c>
      <c r="B452" s="16">
        <v>45880</v>
      </c>
      <c r="C452" s="57" t="s">
        <v>418</v>
      </c>
      <c r="D452" s="18">
        <v>-51.38</v>
      </c>
      <c r="E452" s="18"/>
      <c r="F452" s="18">
        <f>=IF(F451&lt;&gt;"NA",F451+D452+E452,"NA")</f>
      </c>
      <c r="G452" s="44" t="s">
        <v>7</v>
      </c>
    </row>
    <row r="453">
      <c r="A453" s="11">
        <v>45880</v>
      </c>
      <c r="B453" s="15">
        <v>45880</v>
      </c>
      <c r="C453" s="66" t="s">
        <v>419</v>
      </c>
      <c r="D453" s="19">
        <v>-0.44</v>
      </c>
      <c r="E453" s="19"/>
      <c r="F453" s="19">
        <f>=IF(F452&lt;&gt;"NA",F452+D453+E453,"NA")</f>
      </c>
      <c r="G453" s="45" t="s">
        <v>7</v>
      </c>
    </row>
    <row r="454">
      <c r="A454" s="13">
        <v>45880</v>
      </c>
      <c r="B454" s="16">
        <v>45880</v>
      </c>
      <c r="C454" s="57" t="s">
        <v>420</v>
      </c>
      <c r="D454" s="18">
        <v>-3.65</v>
      </c>
      <c r="E454" s="18"/>
      <c r="F454" s="18">
        <f>=IF(F453&lt;&gt;"NA",F453+D454+E454,"NA")</f>
      </c>
      <c r="G454" s="44" t="s">
        <v>7</v>
      </c>
    </row>
    <row r="455">
      <c r="A455" s="11">
        <v>45881</v>
      </c>
      <c r="B455" s="15">
        <v>45881</v>
      </c>
      <c r="C455" s="66" t="s">
        <v>421</v>
      </c>
      <c r="D455" s="19">
        <v>-76.27</v>
      </c>
      <c r="E455" s="19"/>
      <c r="F455" s="19">
        <f>=IF(F454&lt;&gt;"NA",F454+D455+E455,"NA")</f>
      </c>
      <c r="G455" s="45" t="s">
        <v>7</v>
      </c>
    </row>
    <row r="456">
      <c r="A456" s="13">
        <v>45888</v>
      </c>
      <c r="B456" s="16">
        <v>45888</v>
      </c>
      <c r="C456" s="57" t="s">
        <v>422</v>
      </c>
      <c r="D456" s="18">
        <v>-39</v>
      </c>
      <c r="E456" s="18"/>
      <c r="F456" s="18">
        <f>=IF(F455&lt;&gt;"NA",F455+D456+E456,"NA")</f>
      </c>
      <c r="G456" s="44" t="s">
        <v>7</v>
      </c>
    </row>
    <row r="457">
      <c r="A457" s="11">
        <v>45888</v>
      </c>
      <c r="B457" s="15">
        <v>45888</v>
      </c>
      <c r="C457" s="66" t="s">
        <v>423</v>
      </c>
      <c r="D457" s="19"/>
      <c r="E457" s="19">
        <v>1500</v>
      </c>
      <c r="F457" s="19">
        <f>=IF(F456&lt;&gt;"NA",F456+D457+E457,"NA")</f>
      </c>
      <c r="G457" s="45" t="s">
        <v>7</v>
      </c>
    </row>
    <row r="458">
      <c r="A458" s="13">
        <v>45888</v>
      </c>
      <c r="B458" s="16">
        <v>45888</v>
      </c>
      <c r="C458" s="57" t="s">
        <v>424</v>
      </c>
      <c r="D458" s="18">
        <v>-2033.5</v>
      </c>
      <c r="E458" s="18"/>
      <c r="F458" s="18">
        <f>=IF(F457&lt;&gt;"NA",F457+D458+E458,"NA")</f>
      </c>
      <c r="G458" s="44" t="s">
        <v>7</v>
      </c>
    </row>
    <row r="459">
      <c r="A459" s="11">
        <v>45894</v>
      </c>
      <c r="B459" s="15">
        <v>45894</v>
      </c>
      <c r="C459" s="66" t="s">
        <v>425</v>
      </c>
      <c r="D459" s="19">
        <v>-400</v>
      </c>
      <c r="E459" s="19"/>
      <c r="F459" s="19">
        <f>=IF(F458&lt;&gt;"NA",F458+D459+E459,"NA")</f>
      </c>
      <c r="G459" s="45" t="s">
        <v>7</v>
      </c>
    </row>
    <row r="460">
      <c r="A460" s="13">
        <v>45894</v>
      </c>
      <c r="B460" s="16">
        <v>45894</v>
      </c>
      <c r="C460" s="57" t="s">
        <v>299</v>
      </c>
      <c r="D460" s="18">
        <v>-5.89</v>
      </c>
      <c r="E460" s="18"/>
      <c r="F460" s="18">
        <f>=IF(F459&lt;&gt;"NA",F459+D460+E460,"NA")</f>
      </c>
      <c r="G460" s="44" t="s">
        <v>7</v>
      </c>
    </row>
    <row r="461">
      <c r="A461" s="11">
        <v>45898</v>
      </c>
      <c r="B461" s="15">
        <v>45898</v>
      </c>
      <c r="C461" s="66" t="s">
        <v>183</v>
      </c>
      <c r="D461" s="19">
        <v>-372.18</v>
      </c>
      <c r="E461" s="19"/>
      <c r="F461" s="19">
        <f>=IF(F460&lt;&gt;"NA",F460+D461+E461,"NA")</f>
      </c>
      <c r="G461" s="45" t="s">
        <v>7</v>
      </c>
    </row>
    <row r="462">
      <c r="A462" s="13">
        <v>45903</v>
      </c>
      <c r="B462" s="16">
        <v>45903</v>
      </c>
      <c r="C462" s="57" t="s">
        <v>426</v>
      </c>
      <c r="D462" s="18">
        <v>-186.86</v>
      </c>
      <c r="E462" s="18"/>
      <c r="F462" s="18">
        <f>=IF(F461&lt;&gt;"NA",F461+D462+E462,"NA")</f>
      </c>
      <c r="G462" s="44" t="s">
        <v>7</v>
      </c>
    </row>
    <row r="463">
      <c r="A463" s="11">
        <v>45904</v>
      </c>
      <c r="B463" s="15">
        <v>45904</v>
      </c>
      <c r="C463" s="66" t="s">
        <v>427</v>
      </c>
      <c r="D463" s="19"/>
      <c r="E463" s="19">
        <v>1333.32</v>
      </c>
      <c r="F463" s="19">
        <f>=IF(F462&lt;&gt;"NA",F462+D463+E463,"NA")</f>
      </c>
      <c r="G463" s="45" t="s">
        <v>7</v>
      </c>
    </row>
    <row r="464">
      <c r="A464" s="13">
        <v>45905</v>
      </c>
      <c r="B464" s="16">
        <v>45905</v>
      </c>
      <c r="C464" s="57" t="s">
        <v>428</v>
      </c>
      <c r="D464" s="18">
        <v>-23.17</v>
      </c>
      <c r="E464" s="18"/>
      <c r="F464" s="18">
        <f>=IF(F463&lt;&gt;"NA",F463+D464+E464,"NA")</f>
      </c>
      <c r="G464" s="44" t="s">
        <v>7</v>
      </c>
    </row>
    <row r="465">
      <c r="A465" s="11">
        <v>45905</v>
      </c>
      <c r="B465" s="15">
        <v>45905</v>
      </c>
      <c r="C465" s="66" t="s">
        <v>429</v>
      </c>
      <c r="D465" s="19">
        <v>-69.07</v>
      </c>
      <c r="E465" s="19"/>
      <c r="F465" s="19">
        <f>=IF(F464&lt;&gt;"NA",F464+D465+E465,"NA")</f>
      </c>
      <c r="G465" s="45" t="s">
        <v>7</v>
      </c>
    </row>
    <row r="466">
      <c r="A466" s="13">
        <v>45905</v>
      </c>
      <c r="B466" s="16">
        <v>45905</v>
      </c>
      <c r="C466" s="57" t="s">
        <v>430</v>
      </c>
      <c r="D466" s="18">
        <v>-96.62</v>
      </c>
      <c r="E466" s="18"/>
      <c r="F466" s="18">
        <f>=IF(F465&lt;&gt;"NA",F465+D466+E466,"NA")</f>
      </c>
      <c r="G466" s="44" t="s">
        <v>7</v>
      </c>
    </row>
    <row r="467">
      <c r="A467" s="11">
        <v>45908</v>
      </c>
      <c r="B467" s="15">
        <v>45908</v>
      </c>
      <c r="C467" s="66" t="s">
        <v>28</v>
      </c>
      <c r="D467" s="19">
        <v>-823.71</v>
      </c>
      <c r="E467" s="19"/>
      <c r="F467" s="19">
        <f>=IF(F466&lt;&gt;"NA",F466+D467+E467,"NA")</f>
      </c>
      <c r="G467" s="45" t="s">
        <v>7</v>
      </c>
    </row>
    <row r="468">
      <c r="A468" s="13">
        <v>45908</v>
      </c>
      <c r="B468" s="16">
        <v>45908</v>
      </c>
      <c r="C468" s="57" t="s">
        <v>399</v>
      </c>
      <c r="D468" s="18">
        <v>-650.72</v>
      </c>
      <c r="E468" s="18"/>
      <c r="F468" s="18">
        <f>=IF(F467&lt;&gt;"NA",F467+D468+E468,"NA")</f>
      </c>
      <c r="G468" s="44" t="s">
        <v>7</v>
      </c>
    </row>
    <row r="469">
      <c r="A469" s="11">
        <v>45908</v>
      </c>
      <c r="B469" s="15">
        <v>45908</v>
      </c>
      <c r="C469" s="66" t="s">
        <v>36</v>
      </c>
      <c r="D469" s="19">
        <v>-30.99</v>
      </c>
      <c r="E469" s="19"/>
      <c r="F469" s="19">
        <f>=IF(F468&lt;&gt;"NA",F468+D469+E469,"NA")</f>
      </c>
      <c r="G469" s="45" t="s">
        <v>7</v>
      </c>
    </row>
    <row r="470">
      <c r="A470" s="13">
        <v>45908</v>
      </c>
      <c r="B470" s="16">
        <v>45908</v>
      </c>
      <c r="C470" s="57" t="s">
        <v>431</v>
      </c>
      <c r="D470" s="18">
        <v>-12.47</v>
      </c>
      <c r="E470" s="18"/>
      <c r="F470" s="18">
        <f>=IF(F469&lt;&gt;"NA",F469+D470+E470,"NA")</f>
      </c>
      <c r="G470" s="44" t="s">
        <v>7</v>
      </c>
    </row>
    <row r="471">
      <c r="A471" s="11">
        <v>45909</v>
      </c>
      <c r="B471" s="15">
        <v>45909</v>
      </c>
      <c r="C471" s="66" t="s">
        <v>432</v>
      </c>
      <c r="D471" s="19">
        <v>-160.2</v>
      </c>
      <c r="E471" s="19"/>
      <c r="F471" s="19">
        <f>=IF(F470&lt;&gt;"NA",F470+D471+E471,"NA")</f>
      </c>
      <c r="G471" s="45" t="s">
        <v>7</v>
      </c>
    </row>
    <row r="472">
      <c r="A472" s="13">
        <v>45909</v>
      </c>
      <c r="B472" s="16">
        <v>45909</v>
      </c>
      <c r="C472" s="57" t="s">
        <v>433</v>
      </c>
      <c r="D472" s="18">
        <v>-65.89</v>
      </c>
      <c r="E472" s="18"/>
      <c r="F472" s="18">
        <f>=IF(F471&lt;&gt;"NA",F471+D472+E472,"NA")</f>
      </c>
      <c r="G472" s="44" t="s">
        <v>7</v>
      </c>
    </row>
    <row r="473">
      <c r="A473" s="11">
        <v>45910</v>
      </c>
      <c r="B473" s="15">
        <v>45901</v>
      </c>
      <c r="C473" s="66" t="s">
        <v>434</v>
      </c>
      <c r="D473" s="19">
        <v>-38.34</v>
      </c>
      <c r="E473" s="19"/>
      <c r="F473" s="19">
        <f>=IF(F472&lt;&gt;"NA",F472+D473+E473,"NA")</f>
      </c>
      <c r="G473" s="45" t="s">
        <v>7</v>
      </c>
    </row>
    <row r="474">
      <c r="A474" s="13">
        <v>45910</v>
      </c>
      <c r="B474" s="16">
        <v>45910</v>
      </c>
      <c r="C474" s="57" t="s">
        <v>435</v>
      </c>
      <c r="D474" s="18">
        <v>-51.38</v>
      </c>
      <c r="E474" s="18"/>
      <c r="F474" s="18">
        <f>=IF(F473&lt;&gt;"NA",F473+D474+E474,"NA")</f>
      </c>
      <c r="G474" s="44" t="s">
        <v>7</v>
      </c>
    </row>
    <row r="475">
      <c r="A475" s="11">
        <v>45911</v>
      </c>
      <c r="B475" s="15">
        <v>45911</v>
      </c>
      <c r="C475" s="66" t="s">
        <v>436</v>
      </c>
      <c r="D475" s="19">
        <v>-333.78</v>
      </c>
      <c r="E475" s="19"/>
      <c r="F475" s="19">
        <f>=IF(F474&lt;&gt;"NA",F474+D475+E475,"NA")</f>
      </c>
      <c r="G475" s="45" t="s">
        <v>7</v>
      </c>
    </row>
    <row r="476">
      <c r="A476" s="13">
        <v>45912</v>
      </c>
      <c r="B476" s="16">
        <v>45912</v>
      </c>
      <c r="C476" s="57" t="s">
        <v>437</v>
      </c>
      <c r="D476" s="18">
        <v>-76.27</v>
      </c>
      <c r="E476" s="18"/>
      <c r="F476" s="18">
        <f>=IF(F475&lt;&gt;"NA",F475+D476+E476,"NA")</f>
      </c>
      <c r="G476" s="44" t="s">
        <v>7</v>
      </c>
    </row>
    <row r="477">
      <c r="A477" s="11">
        <v>45915</v>
      </c>
      <c r="B477" s="15">
        <v>45915</v>
      </c>
      <c r="C477" s="66" t="s">
        <v>438</v>
      </c>
      <c r="D477" s="19"/>
      <c r="E477" s="19">
        <v>500</v>
      </c>
      <c r="F477" s="19">
        <f>=IF(F476&lt;&gt;"NA",F476+D477+E477,"NA")</f>
      </c>
      <c r="G477" s="45" t="s">
        <v>7</v>
      </c>
    </row>
    <row r="478">
      <c r="A478" s="13">
        <v>45915</v>
      </c>
      <c r="B478" s="16">
        <v>45915</v>
      </c>
      <c r="C478" s="57" t="s">
        <v>439</v>
      </c>
      <c r="D478" s="18"/>
      <c r="E478" s="18">
        <v>800</v>
      </c>
      <c r="F478" s="18">
        <f>=IF(F477&lt;&gt;"NA",F477+D478+E478,"NA")</f>
      </c>
      <c r="G478" s="44" t="s">
        <v>7</v>
      </c>
    </row>
    <row r="479">
      <c r="A479" s="11">
        <v>45917</v>
      </c>
      <c r="B479" s="15">
        <v>45917</v>
      </c>
      <c r="C479" s="66" t="s">
        <v>440</v>
      </c>
      <c r="D479" s="19">
        <v>-20</v>
      </c>
      <c r="E479" s="19"/>
      <c r="F479" s="19">
        <f>=IF(F478&lt;&gt;"NA",F478+D479+E479,"NA")</f>
      </c>
      <c r="G479" s="45" t="s">
        <v>7</v>
      </c>
    </row>
    <row r="480">
      <c r="A480" s="13">
        <v>45925</v>
      </c>
      <c r="B480" s="16">
        <v>45925</v>
      </c>
      <c r="C480" s="57" t="s">
        <v>299</v>
      </c>
      <c r="D480" s="18">
        <v>-0.27</v>
      </c>
      <c r="E480" s="18"/>
      <c r="F480" s="18">
        <f>=IF(F479&lt;&gt;"NA",F479+D480+E480,"NA")</f>
      </c>
      <c r="G480" s="44" t="s">
        <v>7</v>
      </c>
    </row>
    <row r="481">
      <c r="A481" s="11">
        <v>45925</v>
      </c>
      <c r="B481" s="15">
        <v>45925</v>
      </c>
      <c r="C481" s="66" t="s">
        <v>441</v>
      </c>
      <c r="D481" s="19"/>
      <c r="E481" s="19">
        <v>1000</v>
      </c>
      <c r="F481" s="19">
        <f>=IF(F480&lt;&gt;"NA",F480+D481+E481,"NA")</f>
      </c>
      <c r="G481" s="45" t="s">
        <v>7</v>
      </c>
    </row>
    <row r="482">
      <c r="A482" s="13">
        <v>45926</v>
      </c>
      <c r="B482" s="16">
        <v>45926</v>
      </c>
      <c r="C482" s="57" t="s">
        <v>442</v>
      </c>
      <c r="D482" s="18">
        <v>-10</v>
      </c>
      <c r="E482" s="18"/>
      <c r="F482" s="18">
        <f>=IF(F481&lt;&gt;"NA",F481+D482+E482,"NA")</f>
      </c>
      <c r="G482" s="44" t="s">
        <v>7</v>
      </c>
    </row>
    <row r="483">
      <c r="A483" s="11">
        <v>45926</v>
      </c>
      <c r="B483" s="15">
        <v>45926</v>
      </c>
      <c r="C483" s="66" t="s">
        <v>443</v>
      </c>
      <c r="D483" s="19">
        <v>-10</v>
      </c>
      <c r="E483" s="19"/>
      <c r="F483" s="19">
        <f>=IF(F482&lt;&gt;"NA",F482+D483+E483,"NA")</f>
      </c>
      <c r="G483" s="45" t="s">
        <v>7</v>
      </c>
    </row>
    <row r="484">
      <c r="A484" s="13">
        <v>45926</v>
      </c>
      <c r="B484" s="16">
        <v>45926</v>
      </c>
      <c r="C484" s="57" t="s">
        <v>444</v>
      </c>
      <c r="D484" s="18">
        <v>-24</v>
      </c>
      <c r="E484" s="18"/>
      <c r="F484" s="18">
        <f>=IF(F483&lt;&gt;"NA",F483+D484+E484,"NA")</f>
      </c>
      <c r="G484" s="44" t="s">
        <v>7</v>
      </c>
    </row>
    <row r="485">
      <c r="A485" s="11">
        <v>45929</v>
      </c>
      <c r="B485" s="15">
        <v>45926</v>
      </c>
      <c r="C485" s="66" t="s">
        <v>445</v>
      </c>
      <c r="D485" s="19"/>
      <c r="E485" s="19">
        <v>17.99</v>
      </c>
      <c r="F485" s="19">
        <f>=IF(F484&lt;&gt;"NA",F484+D485+E485,"NA")</f>
      </c>
      <c r="G485" s="45" t="s">
        <v>7</v>
      </c>
    </row>
    <row r="486">
      <c r="A486" s="13">
        <v>45930</v>
      </c>
      <c r="B486" s="16">
        <v>45930</v>
      </c>
      <c r="C486" s="57" t="s">
        <v>183</v>
      </c>
      <c r="D486" s="18">
        <v>-372.18</v>
      </c>
      <c r="E486" s="18"/>
      <c r="F486" s="18">
        <f>=IF(F485&lt;&gt;"NA",F485+D486+E486,"NA")</f>
      </c>
      <c r="G486" s="44" t="s">
        <v>7</v>
      </c>
    </row>
    <row r="487">
      <c r="A487" s="11">
        <v>45931</v>
      </c>
      <c r="B487" s="15">
        <v>45931</v>
      </c>
      <c r="C487" s="66" t="s">
        <v>446</v>
      </c>
      <c r="D487" s="19">
        <v>-1878.22</v>
      </c>
      <c r="E487" s="19"/>
      <c r="F487" s="19">
        <f>=IF(F486&lt;&gt;"NA",F486+D487+E487,"NA")</f>
      </c>
      <c r="G487" s="45" t="s">
        <v>7</v>
      </c>
    </row>
    <row r="488">
      <c r="A488" s="13">
        <v>45931</v>
      </c>
      <c r="B488" s="16">
        <v>45931</v>
      </c>
      <c r="C488" s="57" t="s">
        <v>447</v>
      </c>
      <c r="D488" s="18"/>
      <c r="E488" s="18">
        <v>2000</v>
      </c>
      <c r="F488" s="18">
        <f>=IF(F487&lt;&gt;"NA",F487+D488+E488,"NA")</f>
      </c>
      <c r="G488" s="44" t="s">
        <v>7</v>
      </c>
    </row>
    <row r="489">
      <c r="A489" s="11">
        <v>45935</v>
      </c>
      <c r="B489" s="15">
        <v>45935</v>
      </c>
      <c r="C489" s="66" t="s">
        <v>448</v>
      </c>
      <c r="D489" s="19"/>
      <c r="E489" s="19">
        <v>500</v>
      </c>
      <c r="F489" s="19">
        <f>=IF(F488&lt;&gt;"NA",F488+D489+E489,"NA")</f>
      </c>
      <c r="G489" s="45" t="s">
        <v>7</v>
      </c>
    </row>
    <row r="490">
      <c r="A490" s="13">
        <v>45936</v>
      </c>
      <c r="B490" s="16">
        <v>45936</v>
      </c>
      <c r="C490" s="57" t="s">
        <v>449</v>
      </c>
      <c r="D490" s="18">
        <v>-141.35</v>
      </c>
      <c r="E490" s="18"/>
      <c r="F490" s="18">
        <f>=IF(F489&lt;&gt;"NA",F489+D490+E490,"NA")</f>
      </c>
      <c r="G490" s="44" t="s">
        <v>7</v>
      </c>
    </row>
    <row r="491">
      <c r="A491" s="11">
        <v>45936</v>
      </c>
      <c r="B491" s="15">
        <v>45936</v>
      </c>
      <c r="C491" s="66" t="s">
        <v>450</v>
      </c>
      <c r="D491" s="19">
        <v>-23.97</v>
      </c>
      <c r="E491" s="19"/>
      <c r="F491" s="19">
        <f>=IF(F490&lt;&gt;"NA",F490+D491+E491,"NA")</f>
      </c>
      <c r="G491" s="45" t="s">
        <v>7</v>
      </c>
    </row>
    <row r="492">
      <c r="A492" s="13">
        <v>45936</v>
      </c>
      <c r="B492" s="16">
        <v>45936</v>
      </c>
      <c r="C492" s="57" t="s">
        <v>451</v>
      </c>
      <c r="D492" s="18">
        <v>-69.07</v>
      </c>
      <c r="E492" s="18"/>
      <c r="F492" s="18">
        <f>=IF(F491&lt;&gt;"NA",F491+D492+E492,"NA")</f>
      </c>
      <c r="G492" s="44" t="s">
        <v>7</v>
      </c>
    </row>
    <row r="493">
      <c r="A493" s="11">
        <v>45936</v>
      </c>
      <c r="B493" s="15">
        <v>45936</v>
      </c>
      <c r="C493" s="66" t="s">
        <v>452</v>
      </c>
      <c r="D493" s="19">
        <v>-96.62</v>
      </c>
      <c r="E493" s="19"/>
      <c r="F493" s="19">
        <f>=IF(F492&lt;&gt;"NA",F492+D493+E493,"NA")</f>
      </c>
      <c r="G493" s="45" t="s">
        <v>7</v>
      </c>
    </row>
    <row r="494">
      <c r="A494" s="13">
        <v>45936</v>
      </c>
      <c r="B494" s="16">
        <v>45936</v>
      </c>
      <c r="C494" s="57" t="s">
        <v>28</v>
      </c>
      <c r="D494" s="18">
        <v>-966.96</v>
      </c>
      <c r="E494" s="18"/>
      <c r="F494" s="18">
        <f>=IF(F493&lt;&gt;"NA",F493+D494+E494,"NA")</f>
      </c>
      <c r="G494" s="44" t="s">
        <v>7</v>
      </c>
    </row>
    <row r="495">
      <c r="A495" s="11">
        <v>45936</v>
      </c>
      <c r="B495" s="15">
        <v>45936</v>
      </c>
      <c r="C495" s="66" t="s">
        <v>399</v>
      </c>
      <c r="D495" s="19">
        <v>-687.94</v>
      </c>
      <c r="E495" s="19"/>
      <c r="F495" s="19">
        <f>=IF(F494&lt;&gt;"NA",F494+D495+E495,"NA")</f>
      </c>
      <c r="G495" s="45" t="s">
        <v>7</v>
      </c>
    </row>
    <row r="496">
      <c r="A496" s="13">
        <v>45936</v>
      </c>
      <c r="B496" s="16">
        <v>45936</v>
      </c>
      <c r="C496" s="57" t="s">
        <v>453</v>
      </c>
      <c r="D496" s="18">
        <v>-12.47</v>
      </c>
      <c r="E496" s="18"/>
      <c r="F496" s="18">
        <f>=IF(F495&lt;&gt;"NA",F495+D496+E496,"NA")</f>
      </c>
      <c r="G496" s="44" t="s">
        <v>7</v>
      </c>
    </row>
    <row r="497">
      <c r="A497" s="11">
        <v>45937</v>
      </c>
      <c r="B497" s="15">
        <v>45937</v>
      </c>
      <c r="C497" s="66" t="s">
        <v>233</v>
      </c>
      <c r="D497" s="19"/>
      <c r="E497" s="19">
        <v>5390</v>
      </c>
      <c r="F497" s="19">
        <f>=IF(F496&lt;&gt;"NA",F496+D497+E497,"NA")</f>
      </c>
      <c r="G497" s="45" t="s">
        <v>7</v>
      </c>
    </row>
    <row r="498">
      <c r="A498" s="13">
        <v>45937</v>
      </c>
      <c r="B498" s="16">
        <v>45937</v>
      </c>
      <c r="C498" s="57" t="s">
        <v>29</v>
      </c>
      <c r="D498" s="18">
        <v>-1584</v>
      </c>
      <c r="E498" s="18"/>
      <c r="F498" s="18">
        <f>=IF(F497&lt;&gt;"NA",F497+D498+E498,"NA")</f>
      </c>
      <c r="G498" s="44" t="s">
        <v>7</v>
      </c>
    </row>
    <row r="499">
      <c r="A499" s="11">
        <v>45938</v>
      </c>
      <c r="B499" s="15">
        <v>45938</v>
      </c>
      <c r="C499" s="66" t="s">
        <v>454</v>
      </c>
      <c r="D499" s="19">
        <v>-353.75</v>
      </c>
      <c r="E499" s="19"/>
      <c r="F499" s="19">
        <f>=IF(F498&lt;&gt;"NA",F498+D499+E499,"NA")</f>
      </c>
      <c r="G499" s="45" t="s">
        <v>7</v>
      </c>
    </row>
    <row r="500">
      <c r="A500" s="13">
        <v>45939</v>
      </c>
      <c r="B500" s="16">
        <v>45939</v>
      </c>
      <c r="C500" s="57" t="s">
        <v>36</v>
      </c>
      <c r="D500" s="18">
        <v>-30.99</v>
      </c>
      <c r="E500" s="18"/>
      <c r="F500" s="18">
        <f>=IF(F499&lt;&gt;"NA",F499+D500+E500,"NA")</f>
      </c>
      <c r="G500" s="44" t="s">
        <v>7</v>
      </c>
    </row>
    <row r="501">
      <c r="A501" s="11">
        <v>45940</v>
      </c>
      <c r="B501" s="15">
        <v>45940</v>
      </c>
      <c r="C501" s="66" t="s">
        <v>455</v>
      </c>
      <c r="D501" s="19">
        <v>-51.38</v>
      </c>
      <c r="E501" s="19"/>
      <c r="F501" s="19">
        <f>=IF(F500&lt;&gt;"NA",F500+D501+E501,"NA")</f>
      </c>
      <c r="G501" s="45" t="s">
        <v>7</v>
      </c>
    </row>
    <row r="502">
      <c r="A502" s="13">
        <v>45940</v>
      </c>
      <c r="B502" s="16">
        <v>45931</v>
      </c>
      <c r="C502" s="57" t="s">
        <v>456</v>
      </c>
      <c r="D502" s="18">
        <v>-138.13</v>
      </c>
      <c r="E502" s="18"/>
      <c r="F502" s="18">
        <f>=IF(F501&lt;&gt;"NA",F501+D502+E502,"NA")</f>
      </c>
      <c r="G502" s="44" t="s">
        <v>7</v>
      </c>
    </row>
    <row r="503">
      <c r="A503" s="11">
        <v>45940</v>
      </c>
      <c r="B503" s="15">
        <v>45940</v>
      </c>
      <c r="C503" s="66" t="s">
        <v>457</v>
      </c>
      <c r="D503" s="19"/>
      <c r="E503" s="19">
        <v>400</v>
      </c>
      <c r="F503" s="19">
        <f>=IF(F502&lt;&gt;"NA",F502+D503+E503,"NA")</f>
      </c>
      <c r="G503" s="45" t="s">
        <v>7</v>
      </c>
    </row>
    <row r="504">
      <c r="A504" s="13">
        <v>45941</v>
      </c>
      <c r="B504" s="16">
        <v>45941</v>
      </c>
      <c r="C504" s="57" t="s">
        <v>458</v>
      </c>
      <c r="D504" s="18"/>
      <c r="E504" s="18">
        <v>400</v>
      </c>
      <c r="F504" s="18">
        <f>=IF(F503&lt;&gt;"NA",F503+D504+E504,"NA")</f>
      </c>
      <c r="G504" s="44" t="s">
        <v>7</v>
      </c>
    </row>
    <row r="505">
      <c r="A505" s="11">
        <v>45942</v>
      </c>
      <c r="B505" s="15">
        <v>45942</v>
      </c>
      <c r="C505" s="66" t="s">
        <v>459</v>
      </c>
      <c r="D505" s="19"/>
      <c r="E505" s="19">
        <v>400</v>
      </c>
      <c r="F505" s="19">
        <f>=IF(F504&lt;&gt;"NA",F504+D505+E505,"NA")</f>
      </c>
      <c r="G505" s="45" t="s">
        <v>7</v>
      </c>
    </row>
    <row r="506">
      <c r="A506" s="13">
        <v>45943</v>
      </c>
      <c r="B506" s="16">
        <v>45943</v>
      </c>
      <c r="C506" s="57" t="s">
        <v>460</v>
      </c>
      <c r="D506" s="18">
        <v>-76.27</v>
      </c>
      <c r="E506" s="18"/>
      <c r="F506" s="18">
        <f>=IF(F505&lt;&gt;"NA",F505+D506+E506,"NA")</f>
      </c>
      <c r="G506" s="44" t="s">
        <v>7</v>
      </c>
    </row>
    <row r="507">
      <c r="A507" s="11">
        <v>45946</v>
      </c>
      <c r="B507" s="15">
        <v>45946</v>
      </c>
      <c r="C507" s="66" t="s">
        <v>461</v>
      </c>
      <c r="D507" s="19">
        <v>-188.49</v>
      </c>
      <c r="E507" s="19"/>
      <c r="F507" s="19">
        <f>=IF(F506&lt;&gt;"NA",F506+D507+E507,"NA")</f>
      </c>
      <c r="G507" s="45" t="s">
        <v>7</v>
      </c>
    </row>
    <row r="508">
      <c r="A508" s="13">
        <v>45946</v>
      </c>
      <c r="B508" s="16">
        <v>45946</v>
      </c>
      <c r="C508" s="57" t="s">
        <v>462</v>
      </c>
      <c r="D508" s="18">
        <v>-23</v>
      </c>
      <c r="E508" s="18"/>
      <c r="F508" s="18">
        <f>=IF(F507&lt;&gt;"NA",F507+D508+E508,"NA")</f>
      </c>
      <c r="G508" s="44" t="s">
        <v>7</v>
      </c>
    </row>
    <row r="509">
      <c r="A509" s="11">
        <v>45946</v>
      </c>
      <c r="B509" s="15">
        <v>45946</v>
      </c>
      <c r="C509" s="66" t="s">
        <v>463</v>
      </c>
      <c r="D509" s="19">
        <v>-360.36</v>
      </c>
      <c r="E509" s="19"/>
      <c r="F509" s="19">
        <f>=IF(F508&lt;&gt;"NA",F508+D509+E509,"NA")</f>
      </c>
      <c r="G509" s="45" t="s">
        <v>7</v>
      </c>
    </row>
    <row r="510">
      <c r="A510" s="13">
        <v>45946</v>
      </c>
      <c r="B510" s="16">
        <v>45946</v>
      </c>
      <c r="C510" s="57" t="s">
        <v>464</v>
      </c>
      <c r="D510" s="18">
        <v>-97.32</v>
      </c>
      <c r="E510" s="18"/>
      <c r="F510" s="18">
        <f>=IF(F509&lt;&gt;"NA",F509+D510+E510,"NA")</f>
      </c>
      <c r="G510" s="44" t="s">
        <v>7</v>
      </c>
    </row>
    <row r="511">
      <c r="A511" s="11">
        <v>45947</v>
      </c>
      <c r="B511" s="15">
        <v>45947</v>
      </c>
      <c r="C511" s="66" t="s">
        <v>465</v>
      </c>
      <c r="D511" s="19">
        <v>-158.94</v>
      </c>
      <c r="E511" s="19"/>
      <c r="F511" s="19">
        <f>=IF(F510&lt;&gt;"NA",F510+D511+E511,"NA")</f>
      </c>
      <c r="G511" s="45" t="s">
        <v>7</v>
      </c>
    </row>
    <row r="512">
      <c r="A512" s="13">
        <v>45949</v>
      </c>
      <c r="B512" s="16">
        <v>45949</v>
      </c>
      <c r="C512" s="57" t="s">
        <v>466</v>
      </c>
      <c r="D512" s="18"/>
      <c r="E512" s="18">
        <v>500</v>
      </c>
      <c r="F512" s="18">
        <f>=IF(F511&lt;&gt;"NA",F511+D512+E512,"NA")</f>
      </c>
      <c r="G512" s="44" t="s">
        <v>7</v>
      </c>
    </row>
    <row r="513">
      <c r="A513" s="11">
        <v>45953</v>
      </c>
      <c r="B513" s="15">
        <v>45953</v>
      </c>
      <c r="C513" s="66" t="s">
        <v>467</v>
      </c>
      <c r="D513" s="19">
        <v>-285.88</v>
      </c>
      <c r="E513" s="19"/>
      <c r="F513" s="19">
        <f>=IF(F512&lt;&gt;"NA",F512+D513+E513,"NA")</f>
      </c>
      <c r="G513" s="45" t="s">
        <v>7</v>
      </c>
    </row>
    <row r="514">
      <c r="A514" s="13">
        <v>45953</v>
      </c>
      <c r="B514" s="16">
        <v>45953</v>
      </c>
      <c r="C514" s="57" t="s">
        <v>468</v>
      </c>
      <c r="D514" s="18">
        <v>-75.18</v>
      </c>
      <c r="E514" s="18"/>
      <c r="F514" s="18">
        <f>=IF(F513&lt;&gt;"NA",F513+D514+E514,"NA")</f>
      </c>
      <c r="G514" s="44" t="s">
        <v>7</v>
      </c>
    </row>
    <row r="515">
      <c r="A515" s="11">
        <v>45954</v>
      </c>
      <c r="B515" s="15">
        <v>45954</v>
      </c>
      <c r="C515" s="66" t="s">
        <v>233</v>
      </c>
      <c r="D515" s="19"/>
      <c r="E515" s="19">
        <v>1485</v>
      </c>
      <c r="F515" s="19">
        <f>=IF(F514&lt;&gt;"NA",F514+D515+E515,"NA")</f>
      </c>
      <c r="G515" s="45" t="s">
        <v>7</v>
      </c>
    </row>
    <row r="516">
      <c r="A516" s="13">
        <v>45954</v>
      </c>
      <c r="B516" s="16">
        <v>45954</v>
      </c>
      <c r="C516" s="57" t="s">
        <v>469</v>
      </c>
      <c r="D516" s="18"/>
      <c r="E516" s="18">
        <v>400</v>
      </c>
      <c r="F516" s="18">
        <f>=IF(F515&lt;&gt;"NA",F515+D516+E516,"NA")</f>
      </c>
      <c r="G516" s="44" t="s">
        <v>7</v>
      </c>
    </row>
    <row r="517">
      <c r="A517" s="11">
        <v>45957</v>
      </c>
      <c r="B517" s="15">
        <v>45957</v>
      </c>
      <c r="C517" s="66" t="s">
        <v>299</v>
      </c>
      <c r="D517" s="19">
        <v>-0.01</v>
      </c>
      <c r="E517" s="19"/>
      <c r="F517" s="19">
        <f>=IF(F516&lt;&gt;"NA",F516+D517+E517,"NA")</f>
      </c>
      <c r="G517" s="45" t="s">
        <v>7</v>
      </c>
    </row>
    <row r="518">
      <c r="A518" s="13">
        <v>45957</v>
      </c>
      <c r="B518" s="16">
        <v>45957</v>
      </c>
      <c r="C518" s="57" t="s">
        <v>470</v>
      </c>
      <c r="D518" s="18">
        <v>-0.85</v>
      </c>
      <c r="E518" s="18"/>
      <c r="F518" s="18">
        <f>=IF(F517&lt;&gt;"NA",F517+D518+E518,"NA")</f>
      </c>
      <c r="G518" s="44" t="s">
        <v>7</v>
      </c>
    </row>
    <row r="519">
      <c r="A519" s="11">
        <v>45957</v>
      </c>
      <c r="B519" s="15">
        <v>45957</v>
      </c>
      <c r="C519" s="66" t="s">
        <v>471</v>
      </c>
      <c r="D519" s="19">
        <v>-17.93</v>
      </c>
      <c r="E519" s="19"/>
      <c r="F519" s="19">
        <f>=IF(F518&lt;&gt;"NA",F518+D519+E519,"NA")</f>
      </c>
      <c r="G519" s="45" t="s">
        <v>7</v>
      </c>
    </row>
    <row r="520">
      <c r="A520" s="13">
        <v>45957</v>
      </c>
      <c r="B520" s="16">
        <v>45957</v>
      </c>
      <c r="C520" s="57" t="s">
        <v>472</v>
      </c>
      <c r="D520" s="18">
        <v>-39.9</v>
      </c>
      <c r="E520" s="18"/>
      <c r="F520" s="18">
        <f>=IF(F519&lt;&gt;"NA",F519+D520+E520,"NA")</f>
      </c>
      <c r="G520" s="44" t="s">
        <v>7</v>
      </c>
    </row>
    <row r="521">
      <c r="A521" s="11">
        <v>45957</v>
      </c>
      <c r="B521" s="15">
        <v>45957</v>
      </c>
      <c r="C521" s="66" t="s">
        <v>473</v>
      </c>
      <c r="D521" s="19">
        <v>-0.83</v>
      </c>
      <c r="E521" s="19"/>
      <c r="F521" s="19">
        <f>=IF(F520&lt;&gt;"NA",F520+D521+E521,"NA")</f>
      </c>
      <c r="G521" s="45" t="s">
        <v>7</v>
      </c>
    </row>
    <row r="522">
      <c r="A522" s="13">
        <v>45957</v>
      </c>
      <c r="B522" s="16">
        <v>45957</v>
      </c>
      <c r="C522" s="57" t="s">
        <v>474</v>
      </c>
      <c r="D522" s="18">
        <v>-17.24</v>
      </c>
      <c r="E522" s="18"/>
      <c r="F522" s="18">
        <f>=IF(F521&lt;&gt;"NA",F521+D522+E522,"NA")</f>
      </c>
      <c r="G522" s="44" t="s">
        <v>7</v>
      </c>
    </row>
    <row r="523">
      <c r="A523" s="11">
        <v>45957</v>
      </c>
      <c r="B523" s="15">
        <v>45957</v>
      </c>
      <c r="C523" s="66" t="s">
        <v>475</v>
      </c>
      <c r="D523" s="19">
        <v>-1.34</v>
      </c>
      <c r="E523" s="19"/>
      <c r="F523" s="19">
        <f>=IF(F522&lt;&gt;"NA",F522+D523+E523,"NA")</f>
      </c>
      <c r="G523" s="45" t="s">
        <v>7</v>
      </c>
    </row>
    <row r="524">
      <c r="A524" s="13">
        <v>45957</v>
      </c>
      <c r="B524" s="16">
        <v>45957</v>
      </c>
      <c r="C524" s="57" t="s">
        <v>476</v>
      </c>
      <c r="D524" s="18">
        <v>-34.87</v>
      </c>
      <c r="E524" s="18"/>
      <c r="F524" s="18">
        <f>=IF(F523&lt;&gt;"NA",F523+D524+E524,"NA")</f>
      </c>
      <c r="G524" s="44" t="s">
        <v>7</v>
      </c>
    </row>
    <row r="525">
      <c r="A525" s="11">
        <v>45958</v>
      </c>
      <c r="B525" s="15">
        <v>45958</v>
      </c>
      <c r="C525" s="66" t="s">
        <v>183</v>
      </c>
      <c r="D525" s="19">
        <v>-372.18</v>
      </c>
      <c r="E525" s="19"/>
      <c r="F525" s="19">
        <f>=IF(F524&lt;&gt;"NA",F524+D525+E525,"NA")</f>
      </c>
      <c r="G525" s="45" t="s">
        <v>7</v>
      </c>
    </row>
    <row r="526">
      <c r="A526" s="13">
        <v>45958</v>
      </c>
      <c r="B526" s="16">
        <v>45958</v>
      </c>
      <c r="C526" s="57" t="s">
        <v>183</v>
      </c>
      <c r="D526" s="18">
        <v>-533.54</v>
      </c>
      <c r="E526" s="18"/>
      <c r="F526" s="18">
        <f>=IF(F525&lt;&gt;"NA",F525+D526+E526,"NA")</f>
      </c>
      <c r="G526" s="44" t="s">
        <v>7</v>
      </c>
    </row>
    <row r="527">
      <c r="A527" s="11">
        <v>45958</v>
      </c>
      <c r="B527" s="15">
        <v>45958</v>
      </c>
      <c r="C527" s="66" t="s">
        <v>477</v>
      </c>
      <c r="D527" s="19">
        <v>-386.55</v>
      </c>
      <c r="E527" s="19"/>
      <c r="F527" s="19">
        <f>=IF(F526&lt;&gt;"NA",F526+D527+E527,"NA")</f>
      </c>
      <c r="G527" s="45" t="s">
        <v>7</v>
      </c>
    </row>
    <row r="528">
      <c r="A528" s="13">
        <v>45958</v>
      </c>
      <c r="B528" s="16">
        <v>45958</v>
      </c>
      <c r="C528" s="57" t="s">
        <v>380</v>
      </c>
      <c r="D528" s="18">
        <v>-38.66</v>
      </c>
      <c r="E528" s="18"/>
      <c r="F528" s="18">
        <f>=IF(F527&lt;&gt;"NA",F527+D528+E528,"NA")</f>
      </c>
      <c r="G528" s="44" t="s">
        <v>7</v>
      </c>
    </row>
    <row r="529">
      <c r="A529" s="11">
        <v>45958</v>
      </c>
      <c r="B529" s="15">
        <v>45958</v>
      </c>
      <c r="C529" s="66" t="s">
        <v>478</v>
      </c>
      <c r="D529" s="19">
        <v>-1.84</v>
      </c>
      <c r="E529" s="19"/>
      <c r="F529" s="19">
        <f>=IF(F528&lt;&gt;"NA",F528+D529+E529,"NA")</f>
      </c>
      <c r="G529" s="45" t="s">
        <v>7</v>
      </c>
    </row>
    <row r="530">
      <c r="A530" s="13">
        <v>45958</v>
      </c>
      <c r="B530" s="16">
        <v>45958</v>
      </c>
      <c r="C530" s="57" t="s">
        <v>479</v>
      </c>
      <c r="D530" s="18">
        <v>-52</v>
      </c>
      <c r="E530" s="18"/>
      <c r="F530" s="18">
        <f>=IF(F529&lt;&gt;"NA",F529+D530+E530,"NA")</f>
      </c>
      <c r="G530" s="44" t="s">
        <v>7</v>
      </c>
    </row>
    <row r="531">
      <c r="A531" s="11">
        <v>45960</v>
      </c>
      <c r="B531" s="15">
        <v>45960</v>
      </c>
      <c r="C531" s="66" t="s">
        <v>480</v>
      </c>
      <c r="D531" s="19"/>
      <c r="E531" s="19">
        <v>200</v>
      </c>
      <c r="F531" s="19">
        <f>=IF(F530&lt;&gt;"NA",F530+D531+E531,"NA")</f>
      </c>
      <c r="G531" s="45" t="s">
        <v>7</v>
      </c>
    </row>
    <row r="532">
      <c r="A532" s="13">
        <v>45960</v>
      </c>
      <c r="B532" s="16">
        <v>45960</v>
      </c>
      <c r="C532" s="57" t="s">
        <v>481</v>
      </c>
      <c r="D532" s="18">
        <v>-1.67</v>
      </c>
      <c r="E532" s="18"/>
      <c r="F532" s="18">
        <f>=IF(F531&lt;&gt;"NA",F531+D532+E532,"NA")</f>
      </c>
      <c r="G532" s="44" t="s">
        <v>7</v>
      </c>
    </row>
    <row r="533">
      <c r="A533" s="11">
        <v>45960</v>
      </c>
      <c r="B533" s="15">
        <v>45960</v>
      </c>
      <c r="C533" s="66" t="s">
        <v>482</v>
      </c>
      <c r="D533" s="19">
        <v>-46.07</v>
      </c>
      <c r="E533" s="19"/>
      <c r="F533" s="19">
        <f>=IF(F532&lt;&gt;"NA",F532+D533+E533,"NA")</f>
      </c>
      <c r="G533" s="45" t="s">
        <v>7</v>
      </c>
    </row>
    <row r="534">
      <c r="A534" s="13">
        <v>45960</v>
      </c>
      <c r="B534" s="16">
        <v>45960</v>
      </c>
      <c r="C534" s="57" t="s">
        <v>483</v>
      </c>
      <c r="D534" s="18">
        <v>-46.68</v>
      </c>
      <c r="E534" s="18"/>
      <c r="F534" s="18">
        <f>=IF(F533&lt;&gt;"NA",F533+D534+E534,"NA")</f>
      </c>
      <c r="G534" s="44" t="s">
        <v>7</v>
      </c>
    </row>
    <row r="535">
      <c r="A535" s="11">
        <v>45961</v>
      </c>
      <c r="B535" s="15">
        <v>45961</v>
      </c>
      <c r="C535" s="66" t="s">
        <v>484</v>
      </c>
      <c r="D535" s="19">
        <v>-221.77</v>
      </c>
      <c r="E535" s="19"/>
      <c r="F535" s="19">
        <f>=IF(F534&lt;&gt;"NA",F534+D535+E535,"NA")</f>
      </c>
      <c r="G535" s="45" t="s">
        <v>7</v>
      </c>
    </row>
    <row r="536">
      <c r="A536" s="14">
        <v>45962</v>
      </c>
      <c r="B536" s="17">
        <v>45962</v>
      </c>
      <c r="C536" s="59" t="s">
        <v>485</v>
      </c>
      <c r="D536" s="20"/>
      <c r="E536" s="20">
        <v>1000</v>
      </c>
      <c r="F536" s="20">
        <f>=IF(F535&lt;&gt;"NA",F535+D536+E536,"NA")</f>
      </c>
      <c r="G536" s="46" t="s">
        <v>7</v>
      </c>
    </row>
    <row r="538">
      <c r="A538" s="76"/>
      <c r="B538" s="76"/>
      <c r="C538" s="76"/>
      <c r="D538" s="77" t="s">
        <v>486</v>
      </c>
      <c r="E538" s="77" t="s">
        <v>486</v>
      </c>
      <c r="F538" s="22">
        <v>5483.75</v>
      </c>
      <c r="G538" s="38" t="s">
        <v>7</v>
      </c>
    </row>
    <row r="539">
      <c r="A539" s="73" t="s">
        <v>11</v>
      </c>
      <c r="B539" s="73" t="s">
        <v>11</v>
      </c>
      <c r="C539" s="73" t="s">
        <v>11</v>
      </c>
      <c r="D539" s="73" t="s">
        <v>11</v>
      </c>
      <c r="E539" s="73" t="s">
        <v>11</v>
      </c>
      <c r="F539" s="73" t="s">
        <v>11</v>
      </c>
      <c r="G539" s="73"/>
    </row>
  </sheetData>
  <autoFilter ref="A5:E5"/>
  <mergeCells>
    <mergeCell ref="A4:G4"/>
    <mergeCell ref="A1:F1"/>
    <mergeCell ref="A2:F2"/>
    <mergeCell ref="A3:C3"/>
    <mergeCell ref="D3:E3"/>
    <mergeCell ref="A538:C538"/>
    <mergeCell ref="D538:E538"/>
    <mergeCell ref="A539:G539"/>
  </mergeCells>
  <hyperlinks>
    <hyperlink ref="A4" location="'Vos comptes'!A1" display=""/>
    <hyperlink ref="B4" location="'Vos comptes'!A1" display=""/>
    <hyperlink ref="C4" location="'Vos comptes'!A1" display=""/>
    <hyperlink ref="D4" location="'Vos comptes'!A1" display=""/>
    <hyperlink ref="E4" location="'Vos comptes'!A1" display=""/>
    <hyperlink ref="F4" location="'Vos comptes'!A1" display=""/>
    <hyperlink ref="A539" location="'Vos comptes'!A1" display=""/>
    <hyperlink ref="B539" location="'Vos comptes'!A1" display=""/>
    <hyperlink ref="C539" location="'Vos comptes'!A1" display=""/>
    <hyperlink ref="D539" location="'Vos comptes'!A1" display=""/>
    <hyperlink ref="E539" location="'Vos comptes'!A1" display=""/>
    <hyperlink ref="F539" location="'Vos comptes'!A1" display=""/>
  </hyperlinks>
  <printOptions horizontalCentered="1"/>
  <pageMargins left="0.7" right="0.7" top="0.75" bottom="0.75" header="0.3" footer="0.3"/>
  <pageSetup paperSize="9" fitToHeight="0" orientation="portrait" fitToWidth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3</vt:i4>
      </vt:variant>
    </vt:vector>
  </HeadingPairs>
  <TitlesOfParts>
    <vt:vector size="8" baseType="lpstr">
      <vt:lpstr>hidden_data</vt:lpstr>
      <vt:lpstr>account_list_template</vt:lpstr>
      <vt:lpstr>cb_template</vt:lpstr>
      <vt:lpstr>cpt_template</vt:lpstr>
      <vt:lpstr>cpt_template_1col</vt:lpstr>
      <vt:lpstr>cb_template!Zone_d_impression</vt:lpstr>
      <vt:lpstr>cpt_template!Zone_d_impression</vt:lpstr>
      <vt:lpstr>cpt_template_1col!Zone_d_impression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2017-01-30T15:07:59Z</dcterms:created>
  <dcterms:modified xsi:type="dcterms:W3CDTF">2022-12-30T13:17:46Z</dcterms:modified>
</cp:coreProperties>
</file>